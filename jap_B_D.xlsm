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zhangyong\毎日仕事\temp\SQL\"/>
    </mc:Choice>
  </mc:AlternateContent>
  <xr:revisionPtr revIDLastSave="0" documentId="13_ncr:1_{EC971514-FC19-4218-A182-905D3CA1109A}" xr6:coauthVersionLast="36" xr6:coauthVersionMax="36" xr10:uidLastSave="{00000000-0000-0000-0000-000000000000}"/>
  <bookViews>
    <workbookView xWindow="0" yWindow="0" windowWidth="22260" windowHeight="12645" activeTab="5" xr2:uid="{00000000-000D-0000-FFFF-FFFF00000000}"/>
  </bookViews>
  <sheets>
    <sheet name="Pages" sheetId="7" r:id="rId1"/>
    <sheet name="TOOL" sheetId="3" r:id="rId2"/>
    <sheet name="T_用户情报" sheetId="2" r:id="rId3"/>
    <sheet name="T_問題情報" sheetId="4" r:id="rId4"/>
    <sheet name="T_用户答案情报" sheetId="10" r:id="rId5"/>
    <sheet name="T_区分ID情報" sheetId="5" r:id="rId6"/>
    <sheet name="区分データ" sheetId="8" r:id="rId7"/>
    <sheet name="SQL定数情報" sheetId="1" r:id="rId8"/>
    <sheet name="Sheet4" sheetId="9" r:id="rId9"/>
  </sheets>
  <definedNames>
    <definedName name="_xlnm._FilterDatabase" localSheetId="8" hidden="1">Sheet4!$C$9:$G$27</definedName>
    <definedName name="_Sort" localSheetId="5" hidden="1">#REF!</definedName>
    <definedName name="_Sort" localSheetId="3" hidden="1">#REF!</definedName>
    <definedName name="_Sort" localSheetId="2" hidden="1">#REF!</definedName>
    <definedName name="_Sort" localSheetId="4" hidden="1">#REF!</definedName>
    <definedName name="_Sort" hidden="1">#REF!</definedName>
    <definedName name="_xlnm.Print_Area" localSheetId="5">T_区分ID情報!$A$1:$J$37</definedName>
    <definedName name="_xlnm.Print_Area" localSheetId="3">T_問題情報!$A$1:$J$24</definedName>
    <definedName name="_xlnm.Print_Area" localSheetId="2">T_用户情报!$A$1:$J$37</definedName>
    <definedName name="_xlnm.Print_Area" localSheetId="4">T_用户答案情报!$A$1:$J$37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5" i="10" l="1"/>
  <c r="A14" i="10"/>
  <c r="A12" i="10"/>
  <c r="A13" i="5"/>
  <c r="A11" i="10"/>
  <c r="A10" i="10"/>
  <c r="A9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3" i="10"/>
  <c r="N26" i="9" l="1"/>
  <c r="N17" i="9"/>
  <c r="N14" i="9"/>
  <c r="N13" i="9"/>
  <c r="N12" i="9"/>
  <c r="N11" i="9"/>
  <c r="N9" i="9"/>
  <c r="J26" i="9"/>
  <c r="J17" i="9"/>
  <c r="J14" i="9"/>
  <c r="J13" i="9"/>
  <c r="J12" i="9"/>
  <c r="J11" i="9"/>
  <c r="J9" i="9"/>
  <c r="I26" i="9"/>
  <c r="I17" i="9"/>
  <c r="I14" i="9"/>
  <c r="I13" i="9"/>
  <c r="I12" i="9"/>
  <c r="I11" i="9"/>
  <c r="I9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A19" i="4" l="1"/>
  <c r="A18" i="4"/>
  <c r="A17" i="4"/>
  <c r="A16" i="4"/>
  <c r="A12" i="4"/>
  <c r="A9" i="4" l="1"/>
  <c r="A37" i="5" l="1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2" i="5"/>
  <c r="A11" i="5"/>
  <c r="A10" i="5"/>
  <c r="A9" i="5"/>
  <c r="A24" i="4"/>
  <c r="A23" i="4"/>
  <c r="A22" i="4"/>
  <c r="A21" i="4"/>
  <c r="A20" i="4"/>
  <c r="A15" i="4"/>
  <c r="A14" i="4"/>
  <c r="A13" i="4"/>
  <c r="A11" i="4"/>
  <c r="A10" i="4"/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4" i="1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</calcChain>
</file>

<file path=xl/sharedStrings.xml><?xml version="1.0" encoding="utf-8"?>
<sst xmlns="http://schemas.openxmlformats.org/spreadsheetml/2006/main" count="428" uniqueCount="223">
  <si>
    <t>エンティティ定義書</t>
    <phoneticPr fontId="5"/>
  </si>
  <si>
    <t>テーブル一覧へ</t>
    <rPh sb="4" eb="6">
      <t>イチラン</t>
    </rPh>
    <phoneticPr fontId="5"/>
  </si>
  <si>
    <t>システム名</t>
  </si>
  <si>
    <t>サブシステム名</t>
  </si>
  <si>
    <t>作成者</t>
  </si>
  <si>
    <t>承認者</t>
  </si>
  <si>
    <t>作成日</t>
  </si>
  <si>
    <t>スキーマ</t>
  </si>
  <si>
    <t>No.</t>
  </si>
  <si>
    <t>型</t>
    <phoneticPr fontId="5"/>
  </si>
  <si>
    <t>桁</t>
    <phoneticPr fontId="5"/>
  </si>
  <si>
    <t>小数</t>
    <phoneticPr fontId="5"/>
  </si>
  <si>
    <t>Null可否</t>
    <rPh sb="4" eb="6">
      <t>カヒ</t>
    </rPh>
    <phoneticPr fontId="5"/>
  </si>
  <si>
    <t>主キー</t>
    <phoneticPr fontId="5"/>
  </si>
  <si>
    <t>初期値</t>
    <phoneticPr fontId="5"/>
  </si>
  <si>
    <t>コメント</t>
    <phoneticPr fontId="5"/>
  </si>
  <si>
    <t>住所コード</t>
    <rPh sb="0" eb="2">
      <t>ジュウショ</t>
    </rPh>
    <phoneticPr fontId="5"/>
  </si>
  <si>
    <t>ANKJYUSYOCD</t>
    <phoneticPr fontId="5"/>
  </si>
  <si>
    <t>CHAR</t>
  </si>
  <si>
    <t>N</t>
    <phoneticPr fontId="5"/>
  </si>
  <si>
    <t>●</t>
    <phoneticPr fontId="5"/>
  </si>
  <si>
    <t>テーブル漢字名</t>
    <rPh sb="4" eb="6">
      <t>カンジ</t>
    </rPh>
    <rPh sb="6" eb="7">
      <t>メイ</t>
    </rPh>
    <phoneticPr fontId="5"/>
  </si>
  <si>
    <t>テーブル英字名</t>
    <rPh sb="4" eb="6">
      <t>エイジ</t>
    </rPh>
    <rPh sb="6" eb="7">
      <t>メイ</t>
    </rPh>
    <phoneticPr fontId="5"/>
  </si>
  <si>
    <t>カラム漢字名</t>
    <rPh sb="3" eb="5">
      <t>カンジ</t>
    </rPh>
    <phoneticPr fontId="5"/>
  </si>
  <si>
    <t>カラム英字名</t>
    <rPh sb="3" eb="5">
      <t>エイジ</t>
    </rPh>
    <phoneticPr fontId="5"/>
  </si>
  <si>
    <t>smallint</t>
    <phoneticPr fontId="4"/>
  </si>
  <si>
    <t>存储整数，小范围</t>
    <phoneticPr fontId="4"/>
  </si>
  <si>
    <t>-32768 至 +32767</t>
    <phoneticPr fontId="4"/>
  </si>
  <si>
    <t>データ類型</t>
    <rPh sb="3" eb="5">
      <t>ルイケイ</t>
    </rPh>
    <phoneticPr fontId="5"/>
  </si>
  <si>
    <t>説明</t>
    <rPh sb="0" eb="2">
      <t>セツメイ</t>
    </rPh>
    <phoneticPr fontId="5"/>
  </si>
  <si>
    <t>備考</t>
    <rPh sb="0" eb="2">
      <t>ビコウ</t>
    </rPh>
    <phoneticPr fontId="5"/>
  </si>
  <si>
    <t>NO.</t>
    <phoneticPr fontId="5"/>
  </si>
  <si>
    <t>integer</t>
    <phoneticPr fontId="4"/>
  </si>
  <si>
    <t>存储整数。使用这个类型可存储典型的整数</t>
    <phoneticPr fontId="4"/>
  </si>
  <si>
    <t>-2147483648 至 +2147483647</t>
    <phoneticPr fontId="4"/>
  </si>
  <si>
    <t>bigint</t>
    <phoneticPr fontId="4"/>
  </si>
  <si>
    <t>存储整数，大范围。</t>
    <phoneticPr fontId="4"/>
  </si>
  <si>
    <t>-9223372036854775808 至 9223372036854775807</t>
    <phoneticPr fontId="4"/>
  </si>
  <si>
    <t>decimal</t>
    <phoneticPr fontId="4"/>
  </si>
  <si>
    <t>用户指定的精度，精确</t>
    <phoneticPr fontId="4"/>
  </si>
  <si>
    <t>小数点前最多为131072个数字; 小数点后最多为16383个数字。</t>
    <phoneticPr fontId="4"/>
  </si>
  <si>
    <t>numeric</t>
    <phoneticPr fontId="4"/>
  </si>
  <si>
    <t>double</t>
    <phoneticPr fontId="4"/>
  </si>
  <si>
    <t>可变精度，不精确</t>
    <phoneticPr fontId="4"/>
  </si>
  <si>
    <t>15位数字精度</t>
    <phoneticPr fontId="4"/>
  </si>
  <si>
    <t>char(size)</t>
    <phoneticPr fontId="4"/>
  </si>
  <si>
    <t>这里size是要存储的字符数。固定长度字符串，右边的空格填充到相等大小的字符。</t>
    <phoneticPr fontId="4"/>
  </si>
  <si>
    <t>varchar(size)</t>
    <phoneticPr fontId="4"/>
  </si>
  <si>
    <t>这里size是要存储的字符数。 可变长度字符串。</t>
    <phoneticPr fontId="4"/>
  </si>
  <si>
    <t>text</t>
    <phoneticPr fontId="4"/>
  </si>
  <si>
    <t>可变长度字符串。</t>
    <phoneticPr fontId="4"/>
  </si>
  <si>
    <t>日期和时间(无时区)</t>
    <phoneticPr fontId="4"/>
  </si>
  <si>
    <t>包括日期和时间，带时区</t>
    <phoneticPr fontId="4"/>
  </si>
  <si>
    <t xml:space="preserve">timestamp [ (p) ] </t>
    <phoneticPr fontId="4"/>
  </si>
  <si>
    <t>timestamp [ (p) ]</t>
    <phoneticPr fontId="4"/>
  </si>
  <si>
    <t>date</t>
    <phoneticPr fontId="4"/>
  </si>
  <si>
    <t>日期(没有时间)</t>
    <phoneticPr fontId="4"/>
  </si>
  <si>
    <t>money</t>
    <phoneticPr fontId="4"/>
  </si>
  <si>
    <t>货币金额</t>
    <phoneticPr fontId="4"/>
  </si>
  <si>
    <t>性别</t>
    <phoneticPr fontId="4"/>
  </si>
  <si>
    <t>zhangyong</t>
    <phoneticPr fontId="4"/>
  </si>
  <si>
    <t>15098762222</t>
    <phoneticPr fontId="4"/>
  </si>
  <si>
    <t>19999@163.com</t>
    <phoneticPr fontId="4"/>
  </si>
  <si>
    <t>VARCHAR</t>
    <phoneticPr fontId="4"/>
  </si>
  <si>
    <t>CHAR</t>
    <phoneticPr fontId="4"/>
  </si>
  <si>
    <t>TIMESTAMP</t>
    <phoneticPr fontId="4"/>
  </si>
  <si>
    <t>Y</t>
    <phoneticPr fontId="5"/>
  </si>
  <si>
    <t>性別</t>
    <rPh sb="0" eb="2">
      <t>セイベツ</t>
    </rPh>
    <phoneticPr fontId="4"/>
  </si>
  <si>
    <r>
      <rPr>
        <sz val="10"/>
        <color theme="1"/>
        <rFont val="SimSun"/>
        <charset val="134"/>
      </rPr>
      <t>张</t>
    </r>
    <r>
      <rPr>
        <sz val="10"/>
        <color theme="1"/>
        <rFont val="ＭＳ Ｐゴシック"/>
        <family val="3"/>
        <charset val="128"/>
      </rPr>
      <t>勇</t>
    </r>
    <phoneticPr fontId="4"/>
  </si>
  <si>
    <t>ユーザ情報</t>
    <rPh sb="3" eb="5">
      <t>ジョウホウ</t>
    </rPh>
    <phoneticPr fontId="4"/>
  </si>
  <si>
    <t>問題情報</t>
    <rPh sb="0" eb="2">
      <t>モンダイ</t>
    </rPh>
    <rPh sb="2" eb="4">
      <t>ジョウホウ</t>
    </rPh>
    <phoneticPr fontId="4"/>
  </si>
  <si>
    <t>●</t>
    <phoneticPr fontId="4"/>
  </si>
  <si>
    <t>NUMERIC</t>
    <phoneticPr fontId="4"/>
  </si>
  <si>
    <t>年度</t>
    <rPh sb="0" eb="2">
      <t>ネンド</t>
    </rPh>
    <phoneticPr fontId="4"/>
  </si>
  <si>
    <t>問題内容</t>
    <rPh sb="0" eb="2">
      <t>モンダイ</t>
    </rPh>
    <rPh sb="2" eb="4">
      <t>ナイヨウ</t>
    </rPh>
    <phoneticPr fontId="4"/>
  </si>
  <si>
    <t>解析</t>
    <rPh sb="0" eb="2">
      <t>カイセキ</t>
    </rPh>
    <phoneticPr fontId="4"/>
  </si>
  <si>
    <t>点数</t>
    <rPh sb="0" eb="2">
      <t>テンスウ</t>
    </rPh>
    <phoneticPr fontId="4"/>
  </si>
  <si>
    <t>区分ID情報</t>
    <rPh sb="0" eb="2">
      <t>クブン</t>
    </rPh>
    <rPh sb="4" eb="6">
      <t>ジョウホウ</t>
    </rPh>
    <phoneticPr fontId="4"/>
  </si>
  <si>
    <t>区分值</t>
    <phoneticPr fontId="4"/>
  </si>
  <si>
    <t>名称</t>
    <phoneticPr fontId="4"/>
  </si>
  <si>
    <t>ID</t>
    <phoneticPr fontId="4"/>
  </si>
  <si>
    <t>值</t>
    <phoneticPr fontId="4"/>
  </si>
  <si>
    <t>001</t>
    <phoneticPr fontId="4"/>
  </si>
  <si>
    <t>男</t>
    <phoneticPr fontId="4"/>
  </si>
  <si>
    <t>SQL定数情報</t>
  </si>
  <si>
    <t>N1N5区分</t>
    <rPh sb="4" eb="6">
      <t>クブン</t>
    </rPh>
    <phoneticPr fontId="4"/>
  </si>
  <si>
    <t>N1</t>
    <phoneticPr fontId="4"/>
  </si>
  <si>
    <t>正解</t>
    <rPh sb="0" eb="2">
      <t>セイカイ</t>
    </rPh>
    <phoneticPr fontId="4"/>
  </si>
  <si>
    <t>题型NO</t>
    <rPh sb="1" eb="2">
      <t>カタ</t>
    </rPh>
    <phoneticPr fontId="4"/>
  </si>
  <si>
    <t>问题NO</t>
    <phoneticPr fontId="4"/>
  </si>
  <si>
    <t>答案1</t>
    <rPh sb="0" eb="2">
      <t>トウアン</t>
    </rPh>
    <phoneticPr fontId="4"/>
  </si>
  <si>
    <t>答案2</t>
    <rPh sb="0" eb="2">
      <t>トウアン</t>
    </rPh>
    <phoneticPr fontId="4"/>
  </si>
  <si>
    <t>答案3</t>
    <rPh sb="0" eb="2">
      <t>トウアン</t>
    </rPh>
    <phoneticPr fontId="4"/>
  </si>
  <si>
    <t>答案4</t>
    <rPh sb="0" eb="2">
      <t>トウアン</t>
    </rPh>
    <phoneticPr fontId="4"/>
  </si>
  <si>
    <t>nkbn</t>
  </si>
  <si>
    <t>yearmonth</t>
  </si>
  <si>
    <t>problemno</t>
  </si>
  <si>
    <t>problemtitle</t>
  </si>
  <si>
    <t>questionno</t>
  </si>
  <si>
    <t>questioncontent</t>
  </si>
  <si>
    <t>choice1</t>
  </si>
  <si>
    <t>choice2</t>
  </si>
  <si>
    <t>choice3</t>
  </si>
  <si>
    <t>choice4</t>
  </si>
  <si>
    <t>correct</t>
  </si>
  <si>
    <t>analysis</t>
  </si>
  <si>
    <t>fraction</t>
  </si>
  <si>
    <t>createtime</t>
  </si>
  <si>
    <t>updatetime</t>
  </si>
  <si>
    <t>＿＿の言葉の読み方として再もよいものを、１、２、３、４から一つ選びなさい</t>
    <rPh sb="3" eb="5">
      <t>コトバ</t>
    </rPh>
    <rPh sb="6" eb="7">
      <t>ヨ</t>
    </rPh>
    <rPh sb="8" eb="9">
      <t>カタ</t>
    </rPh>
    <rPh sb="12" eb="13">
      <t>サイ</t>
    </rPh>
    <rPh sb="29" eb="30">
      <t>ヒト</t>
    </rPh>
    <rPh sb="31" eb="32">
      <t>エラ</t>
    </rPh>
    <phoneticPr fontId="4"/>
  </si>
  <si>
    <t>null</t>
    <phoneticPr fontId="4"/>
  </si>
  <si>
    <t>きのうのばんは       行きましたか。</t>
  </si>
  <si>
    <t>1. かぶると</t>
    <phoneticPr fontId="4"/>
  </si>
  <si>
    <t>２.かぶったで</t>
    <phoneticPr fontId="4"/>
  </si>
  <si>
    <t>３.かぶりに</t>
    <phoneticPr fontId="4"/>
  </si>
  <si>
    <t>４.かぶって</t>
    <phoneticPr fontId="4"/>
  </si>
  <si>
    <t>Y</t>
    <phoneticPr fontId="4"/>
  </si>
  <si>
    <t>N</t>
    <phoneticPr fontId="4"/>
  </si>
  <si>
    <t>N2</t>
  </si>
  <si>
    <t>N3</t>
  </si>
  <si>
    <t>N4</t>
  </si>
  <si>
    <t>□</t>
    <phoneticPr fontId="4"/>
  </si>
  <si>
    <t>201812</t>
    <phoneticPr fontId="4"/>
  </si>
  <si>
    <t>未回答</t>
    <phoneticPr fontId="4"/>
  </si>
  <si>
    <r>
      <t>2018</t>
    </r>
    <r>
      <rPr>
        <sz val="11"/>
        <color theme="1"/>
        <rFont val="Microsoft YaHei"/>
        <family val="2"/>
        <charset val="134"/>
      </rPr>
      <t>07</t>
    </r>
    <phoneticPr fontId="4"/>
  </si>
  <si>
    <t>回答错</t>
    <phoneticPr fontId="4"/>
  </si>
  <si>
    <t>201712</t>
    <phoneticPr fontId="4"/>
  </si>
  <si>
    <t>回答对</t>
    <phoneticPr fontId="4"/>
  </si>
  <si>
    <r>
      <t>2017</t>
    </r>
    <r>
      <rPr>
        <sz val="11"/>
        <color theme="1"/>
        <rFont val="Microsoft YaHei"/>
        <family val="2"/>
        <charset val="134"/>
      </rPr>
      <t>07</t>
    </r>
    <phoneticPr fontId="4"/>
  </si>
  <si>
    <t>GO</t>
    <phoneticPr fontId="4"/>
  </si>
  <si>
    <t>N1-201812-文字-01</t>
    <phoneticPr fontId="4"/>
  </si>
  <si>
    <t>01)　きのうのばんは ＿＿＿ 行きましたか。</t>
    <phoneticPr fontId="4"/>
  </si>
  <si>
    <t>前回对</t>
    <phoneticPr fontId="4"/>
  </si>
  <si>
    <t>02)　課長がまだこないので、あしたは ＿＿＿仕事をするか分かりません。</t>
    <phoneticPr fontId="4"/>
  </si>
  <si>
    <t>前回错</t>
    <phoneticPr fontId="4"/>
  </si>
  <si>
    <t>03)　課長がまだこないので、あしたは ＿＿＿仕事をするか分かりません。</t>
    <phoneticPr fontId="4"/>
  </si>
  <si>
    <t>01)　きのうのばんは       行きましたか。</t>
    <phoneticPr fontId="4"/>
  </si>
  <si>
    <t>×</t>
    <phoneticPr fontId="4"/>
  </si>
  <si>
    <t>提交答案</t>
    <phoneticPr fontId="4"/>
  </si>
  <si>
    <t>答案解析</t>
    <phoneticPr fontId="4"/>
  </si>
  <si>
    <t>＜上一题</t>
    <phoneticPr fontId="4"/>
  </si>
  <si>
    <t>下一题＞</t>
    <phoneticPr fontId="4"/>
  </si>
  <si>
    <t>userid</t>
  </si>
  <si>
    <t>password</t>
  </si>
  <si>
    <t>usernm</t>
  </si>
  <si>
    <t>phoneno</t>
  </si>
  <si>
    <t>mail</t>
  </si>
  <si>
    <t>sexid</t>
  </si>
  <si>
    <t>img</t>
  </si>
  <si>
    <t>mailcheck</t>
  </si>
  <si>
    <t>phonecheck</t>
  </si>
  <si>
    <r>
      <rPr>
        <sz val="10"/>
        <color theme="1"/>
        <rFont val="Microsoft YaHei"/>
        <family val="3"/>
        <charset val="134"/>
      </rPr>
      <t>手机</t>
    </r>
    <r>
      <rPr>
        <sz val="10"/>
        <color theme="1"/>
        <rFont val="ＭＳ Ｐゴシック"/>
        <family val="3"/>
        <charset val="128"/>
      </rPr>
      <t>確認</t>
    </r>
    <rPh sb="2" eb="4">
      <t>カクニン</t>
    </rPh>
    <phoneticPr fontId="4"/>
  </si>
  <si>
    <r>
      <rPr>
        <sz val="10"/>
        <color theme="1"/>
        <rFont val="Microsoft YaHei"/>
        <family val="3"/>
        <charset val="134"/>
      </rPr>
      <t>邮箱</t>
    </r>
    <r>
      <rPr>
        <sz val="10"/>
        <color theme="1"/>
        <rFont val="ＭＳ Ｐゴシック"/>
        <family val="3"/>
        <charset val="128"/>
      </rPr>
      <t>確認</t>
    </r>
    <rPh sb="2" eb="4">
      <t>カクニン</t>
    </rPh>
    <phoneticPr fontId="4"/>
  </si>
  <si>
    <t>头像</t>
    <phoneticPr fontId="4"/>
  </si>
  <si>
    <t>邮箱</t>
    <phoneticPr fontId="4"/>
  </si>
  <si>
    <t>手机</t>
    <phoneticPr fontId="4"/>
  </si>
  <si>
    <t>用户ID</t>
    <phoneticPr fontId="4"/>
  </si>
  <si>
    <t>密码</t>
    <phoneticPr fontId="4"/>
  </si>
  <si>
    <t>用户名</t>
    <rPh sb="0" eb="1">
      <t>ヨウ</t>
    </rPh>
    <rPh sb="2" eb="3">
      <t>メイ</t>
    </rPh>
    <phoneticPr fontId="4"/>
  </si>
  <si>
    <t>登录时间</t>
    <rPh sb="0" eb="1">
      <t>ノボル</t>
    </rPh>
    <phoneticPr fontId="4"/>
  </si>
  <si>
    <t>更新时间</t>
    <rPh sb="0" eb="2">
      <t>コウシン</t>
    </rPh>
    <phoneticPr fontId="4"/>
  </si>
  <si>
    <t>题型内容</t>
    <phoneticPr fontId="4"/>
  </si>
  <si>
    <t>区分值</t>
    <phoneticPr fontId="5"/>
  </si>
  <si>
    <t>名称</t>
    <phoneticPr fontId="5"/>
  </si>
  <si>
    <t>ID</t>
    <phoneticPr fontId="5"/>
  </si>
  <si>
    <t>值</t>
    <phoneticPr fontId="5"/>
  </si>
  <si>
    <t>CODE</t>
    <phoneticPr fontId="5"/>
  </si>
  <si>
    <t>NAME</t>
    <phoneticPr fontId="5"/>
  </si>
  <si>
    <t>DATA</t>
    <phoneticPr fontId="5"/>
  </si>
  <si>
    <t>001</t>
    <phoneticPr fontId="5"/>
  </si>
  <si>
    <t>性别</t>
    <phoneticPr fontId="5"/>
  </si>
  <si>
    <t>男</t>
    <phoneticPr fontId="5"/>
  </si>
  <si>
    <t>女</t>
    <phoneticPr fontId="5"/>
  </si>
  <si>
    <t>UN2M002</t>
  </si>
  <si>
    <t>UN2M003</t>
  </si>
  <si>
    <t>UN2M005</t>
  </si>
  <si>
    <t>UN2M025</t>
  </si>
  <si>
    <t>UN2M026</t>
  </si>
  <si>
    <t>UN2M027</t>
  </si>
  <si>
    <t>UN2M029</t>
  </si>
  <si>
    <t>UN2M030</t>
  </si>
  <si>
    <t>UN2M033</t>
  </si>
  <si>
    <t>UN2M034</t>
  </si>
  <si>
    <t>UN2M035</t>
  </si>
  <si>
    <t>UN2M051</t>
  </si>
  <si>
    <t>UN2M052</t>
  </si>
  <si>
    <t>UN2M053</t>
  </si>
  <si>
    <t>UN2M054</t>
  </si>
  <si>
    <t>UN2M060</t>
  </si>
  <si>
    <t>UN2M201</t>
  </si>
  <si>
    <t>UN2M202</t>
  </si>
  <si>
    <t xml:space="preserve">UN2M203 </t>
  </si>
  <si>
    <t>A01_UN2M002</t>
  </si>
  <si>
    <t>A01_UN2M003</t>
  </si>
  <si>
    <t>A01_UN2M005</t>
  </si>
  <si>
    <t>A01_UN2M025</t>
  </si>
  <si>
    <t>A01_UN2M026</t>
  </si>
  <si>
    <t>A01_UN2M027</t>
  </si>
  <si>
    <t>A01_UN2M029</t>
  </si>
  <si>
    <t>A01_UN2M030</t>
  </si>
  <si>
    <t>A01_UN2M033</t>
  </si>
  <si>
    <t>A01_UN2M034</t>
  </si>
  <si>
    <t>A01_UN2M035</t>
  </si>
  <si>
    <t>A01_UN2M051</t>
  </si>
  <si>
    <t>A01_UN2M052</t>
  </si>
  <si>
    <t>A01_UN2M053</t>
  </si>
  <si>
    <t>A01_UN2M054</t>
  </si>
  <si>
    <t>A01_UN2M060</t>
  </si>
  <si>
    <t>A01_UN2M201</t>
  </si>
  <si>
    <t>A01_UN2M202</t>
  </si>
  <si>
    <t xml:space="preserve">A01_UN2M203 </t>
  </si>
  <si>
    <t>userinfo</t>
    <phoneticPr fontId="4"/>
  </si>
  <si>
    <t>questioninfo</t>
    <phoneticPr fontId="4"/>
  </si>
  <si>
    <t>codeinfo</t>
    <phoneticPr fontId="4"/>
  </si>
  <si>
    <t>code</t>
  </si>
  <si>
    <t>name</t>
  </si>
  <si>
    <t>id</t>
  </si>
  <si>
    <t>data</t>
  </si>
  <si>
    <t>用户答案情报</t>
    <phoneticPr fontId="4"/>
  </si>
  <si>
    <r>
      <rPr>
        <sz val="11"/>
        <rFont val="Microsoft YaHei"/>
        <family val="3"/>
        <charset val="134"/>
      </rPr>
      <t>useranswer</t>
    </r>
    <r>
      <rPr>
        <sz val="11"/>
        <rFont val="ＭＳ Ｐゴシック"/>
        <family val="3"/>
        <charset val="128"/>
      </rPr>
      <t>info</t>
    </r>
    <phoneticPr fontId="4"/>
  </si>
  <si>
    <t>选择答案</t>
    <phoneticPr fontId="4"/>
  </si>
  <si>
    <t>Y</t>
    <phoneticPr fontId="4"/>
  </si>
  <si>
    <t>chooseanswer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</si>
</sst>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1"/>
      <color theme="1"/>
      <name val="Yu Gothic"/>
      <family val="2"/>
      <scheme val="minor"/>
    </font>
    <font>
      <u/>
      <sz val="11"/>
      <color theme="10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Yu Gothic"/>
      <family val="3"/>
      <charset val="128"/>
      <scheme val="minor"/>
    </font>
    <font>
      <sz val="6"/>
      <name val="游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SimSun"/>
      <charset val="134"/>
    </font>
    <font>
      <u/>
      <sz val="10"/>
      <color theme="10"/>
      <name val="ＭＳ Ｐゴシック"/>
      <family val="3"/>
      <charset val="128"/>
    </font>
    <font>
      <sz val="11"/>
      <color theme="1"/>
      <name val="Microsoft YaHei"/>
      <family val="2"/>
      <charset val="134"/>
    </font>
    <font>
      <sz val="11"/>
      <color theme="1"/>
      <name val="Yu Gothic"/>
      <family val="2"/>
      <charset val="134"/>
      <scheme val="minor"/>
    </font>
    <font>
      <sz val="10"/>
      <name val="Microsoft YaHei"/>
      <family val="3"/>
      <charset val="134"/>
    </font>
    <font>
      <sz val="10"/>
      <name val="ＭＳ Ｐゴシック"/>
      <family val="2"/>
      <charset val="128"/>
    </font>
    <font>
      <sz val="10"/>
      <name val="Microsoft YaHei"/>
      <family val="2"/>
      <charset val="134"/>
    </font>
    <font>
      <sz val="11"/>
      <color theme="1"/>
      <name val="メイリオ"/>
      <family val="2"/>
      <charset val="128"/>
    </font>
    <font>
      <sz val="10"/>
      <color rgb="FF0000FF"/>
      <name val="SimSun"/>
      <charset val="134"/>
    </font>
    <font>
      <sz val="10"/>
      <color rgb="FFFF0000"/>
      <name val="SimSun"/>
      <charset val="134"/>
    </font>
    <font>
      <sz val="9"/>
      <color theme="1"/>
      <name val="SimSun"/>
      <charset val="134"/>
    </font>
    <font>
      <sz val="11"/>
      <color rgb="FFFF0000"/>
      <name val="Yu Gothic"/>
      <family val="2"/>
      <scheme val="minor"/>
    </font>
    <font>
      <sz val="10"/>
      <color theme="1"/>
      <name val="Microsoft YaHei"/>
      <family val="3"/>
      <charset val="134"/>
    </font>
    <font>
      <sz val="10"/>
      <color theme="1"/>
      <name val="ＭＳ Ｐゴシック"/>
      <family val="3"/>
      <charset val="134"/>
    </font>
    <font>
      <sz val="9"/>
      <color theme="1"/>
      <name val="ＭＳ Ｐゴシック"/>
      <family val="3"/>
      <charset val="128"/>
    </font>
    <font>
      <sz val="11"/>
      <name val="ＭＳ Ｐゴシック"/>
      <family val="3"/>
      <charset val="134"/>
    </font>
    <font>
      <sz val="11"/>
      <name val="Microsoft YaHei"/>
      <family val="3"/>
      <charset val="134"/>
    </font>
    <font>
      <b/>
      <sz val="11"/>
      <name val="Microsoft YaHei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</cellStyleXfs>
  <cellXfs count="116">
    <xf numFmtId="0" fontId="0" fillId="0" borderId="0" xfId="0"/>
    <xf numFmtId="0" fontId="3" fillId="0" borderId="0" xfId="2" applyFont="1">
      <alignment vertical="center"/>
    </xf>
    <xf numFmtId="0" fontId="3" fillId="0" borderId="0" xfId="2" applyFont="1" applyAlignment="1">
      <alignment horizontal="center" vertical="center"/>
    </xf>
    <xf numFmtId="0" fontId="3" fillId="2" borderId="4" xfId="2" applyFont="1" applyFill="1" applyBorder="1" applyAlignment="1">
      <alignment horizontal="center" vertical="center"/>
    </xf>
    <xf numFmtId="0" fontId="9" fillId="2" borderId="14" xfId="4" applyFont="1" applyFill="1" applyBorder="1" applyAlignment="1">
      <alignment horizontal="center" vertical="center"/>
    </xf>
    <xf numFmtId="0" fontId="3" fillId="2" borderId="14" xfId="2" applyFont="1" applyFill="1" applyBorder="1" applyAlignment="1">
      <alignment horizontal="center" vertical="center" wrapText="1"/>
    </xf>
    <xf numFmtId="0" fontId="10" fillId="2" borderId="14" xfId="2" applyFont="1" applyFill="1" applyBorder="1" applyAlignment="1">
      <alignment horizontal="center" vertical="center" wrapText="1"/>
    </xf>
    <xf numFmtId="0" fontId="3" fillId="2" borderId="14" xfId="2" applyFont="1" applyFill="1" applyBorder="1" applyAlignment="1">
      <alignment horizontal="centerContinuous" vertical="center"/>
    </xf>
    <xf numFmtId="0" fontId="3" fillId="0" borderId="0" xfId="2" applyFont="1" applyAlignment="1">
      <alignment vertical="center"/>
    </xf>
    <xf numFmtId="0" fontId="7" fillId="0" borderId="14" xfId="2" applyFont="1" applyFill="1" applyBorder="1" applyAlignment="1">
      <alignment vertical="center" shrinkToFit="1"/>
    </xf>
    <xf numFmtId="0" fontId="7" fillId="0" borderId="14" xfId="2" applyFont="1" applyFill="1" applyBorder="1" applyAlignment="1">
      <alignment horizontal="center" vertical="center"/>
    </xf>
    <xf numFmtId="0" fontId="7" fillId="0" borderId="14" xfId="2" applyFont="1" applyFill="1" applyBorder="1" applyAlignment="1">
      <alignment vertical="center" wrapText="1"/>
    </xf>
    <xf numFmtId="0" fontId="7" fillId="0" borderId="0" xfId="2" applyFont="1" applyFill="1">
      <alignment vertical="center"/>
    </xf>
    <xf numFmtId="0" fontId="11" fillId="0" borderId="0" xfId="2" applyFont="1">
      <alignment vertical="center"/>
    </xf>
    <xf numFmtId="0" fontId="11" fillId="0" borderId="14" xfId="2" applyFont="1" applyBorder="1" applyAlignment="1">
      <alignment horizontal="center" vertical="center"/>
    </xf>
    <xf numFmtId="0" fontId="12" fillId="0" borderId="14" xfId="2" applyFont="1" applyBorder="1" applyAlignment="1">
      <alignment horizontal="center" vertical="center"/>
    </xf>
    <xf numFmtId="0" fontId="12" fillId="0" borderId="14" xfId="0" quotePrefix="1" applyFont="1" applyBorder="1" applyAlignment="1">
      <alignment vertical="center" wrapText="1"/>
    </xf>
    <xf numFmtId="0" fontId="12" fillId="0" borderId="14" xfId="0" applyFont="1" applyBorder="1" applyAlignment="1">
      <alignment vertical="center" wrapText="1"/>
    </xf>
    <xf numFmtId="0" fontId="0" fillId="0" borderId="0" xfId="0" applyAlignment="1">
      <alignment wrapText="1"/>
    </xf>
    <xf numFmtId="0" fontId="12" fillId="7" borderId="14" xfId="0" applyFont="1" applyFill="1" applyBorder="1" applyAlignment="1">
      <alignment vertical="center" wrapText="1"/>
    </xf>
    <xf numFmtId="0" fontId="6" fillId="0" borderId="0" xfId="3" applyFont="1" applyAlignment="1" applyProtection="1">
      <alignment horizontal="right" vertical="center"/>
    </xf>
    <xf numFmtId="0" fontId="8" fillId="2" borderId="1" xfId="2" applyFont="1" applyFill="1" applyBorder="1" applyAlignment="1">
      <alignment horizontal="centerContinuous" vertical="center"/>
    </xf>
    <xf numFmtId="0" fontId="8" fillId="2" borderId="2" xfId="2" applyFont="1" applyFill="1" applyBorder="1" applyAlignment="1">
      <alignment horizontal="centerContinuous" vertical="center"/>
    </xf>
    <xf numFmtId="0" fontId="8" fillId="2" borderId="3" xfId="2" applyFont="1" applyFill="1" applyBorder="1" applyAlignment="1">
      <alignment horizontal="centerContinuous" vertical="center"/>
    </xf>
    <xf numFmtId="0" fontId="9" fillId="3" borderId="0" xfId="2" applyFont="1" applyFill="1" applyBorder="1" applyAlignment="1">
      <alignment horizontal="center" vertical="center"/>
    </xf>
    <xf numFmtId="0" fontId="9" fillId="4" borderId="4" xfId="2" applyFont="1" applyFill="1" applyBorder="1" applyAlignment="1">
      <alignment horizontal="center" vertical="center"/>
    </xf>
    <xf numFmtId="0" fontId="8" fillId="3" borderId="5" xfId="2" applyFont="1" applyFill="1" applyBorder="1" applyAlignment="1">
      <alignment horizontal="centerContinuous" vertical="center"/>
    </xf>
    <xf numFmtId="0" fontId="8" fillId="3" borderId="0" xfId="2" applyFont="1" applyFill="1" applyBorder="1" applyAlignment="1">
      <alignment horizontal="centerContinuous" vertical="center"/>
    </xf>
    <xf numFmtId="0" fontId="8" fillId="3" borderId="6" xfId="2" applyFont="1" applyFill="1" applyBorder="1" applyAlignment="1">
      <alignment horizontal="left" vertical="center"/>
    </xf>
    <xf numFmtId="0" fontId="8" fillId="3" borderId="7" xfId="2" applyFont="1" applyFill="1" applyBorder="1" applyAlignment="1">
      <alignment horizontal="left" vertical="center"/>
    </xf>
    <xf numFmtId="0" fontId="8" fillId="3" borderId="8" xfId="2" applyFont="1" applyFill="1" applyBorder="1" applyAlignment="1">
      <alignment horizontal="left" vertical="center"/>
    </xf>
    <xf numFmtId="0" fontId="8" fillId="3" borderId="0" xfId="2" applyFont="1" applyFill="1" applyBorder="1" applyAlignment="1">
      <alignment horizontal="center" vertical="center"/>
    </xf>
    <xf numFmtId="0" fontId="8" fillId="3" borderId="9" xfId="2" applyFont="1" applyFill="1" applyBorder="1" applyAlignment="1">
      <alignment horizontal="centerContinuous" vertical="center"/>
    </xf>
    <xf numFmtId="0" fontId="8" fillId="5" borderId="1" xfId="2" applyFont="1" applyFill="1" applyBorder="1" applyAlignment="1">
      <alignment horizontal="centerContinuous" vertical="center"/>
    </xf>
    <xf numFmtId="0" fontId="8" fillId="5" borderId="3" xfId="2" applyFont="1" applyFill="1" applyBorder="1" applyAlignment="1">
      <alignment horizontal="centerContinuous" vertical="center"/>
    </xf>
    <xf numFmtId="0" fontId="8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Continuous" vertical="center"/>
    </xf>
    <xf numFmtId="0" fontId="9" fillId="3" borderId="12" xfId="2" applyFont="1" applyFill="1" applyBorder="1" applyAlignment="1">
      <alignment horizontal="centerContinuous" vertical="center"/>
    </xf>
    <xf numFmtId="0" fontId="9" fillId="3" borderId="8" xfId="2" applyFont="1" applyFill="1" applyBorder="1" applyAlignment="1">
      <alignment horizontal="centerContinuous" vertical="center"/>
    </xf>
    <xf numFmtId="0" fontId="8" fillId="3" borderId="13" xfId="2" applyFont="1" applyFill="1" applyBorder="1" applyAlignment="1">
      <alignment horizontal="centerContinuous" vertical="center"/>
    </xf>
    <xf numFmtId="0" fontId="8" fillId="0" borderId="0" xfId="2" applyFont="1" applyFill="1">
      <alignment vertical="center"/>
    </xf>
    <xf numFmtId="0" fontId="3" fillId="0" borderId="14" xfId="2" applyFont="1" applyBorder="1" applyAlignment="1">
      <alignment horizontal="center" vertical="center"/>
    </xf>
    <xf numFmtId="0" fontId="8" fillId="0" borderId="14" xfId="2" applyFont="1" applyFill="1" applyBorder="1">
      <alignment vertical="center"/>
    </xf>
    <xf numFmtId="0" fontId="8" fillId="0" borderId="14" xfId="2" applyFont="1" applyFill="1" applyBorder="1" applyAlignment="1">
      <alignment vertical="center" shrinkToFit="1"/>
    </xf>
    <xf numFmtId="0" fontId="8" fillId="0" borderId="14" xfId="2" applyFont="1" applyFill="1" applyBorder="1" applyAlignment="1">
      <alignment horizontal="center" vertical="center"/>
    </xf>
    <xf numFmtId="0" fontId="10" fillId="0" borderId="14" xfId="2" applyFont="1" applyFill="1" applyBorder="1">
      <alignment vertical="center"/>
    </xf>
    <xf numFmtId="0" fontId="8" fillId="0" borderId="14" xfId="2" applyFont="1" applyFill="1" applyBorder="1" applyAlignment="1">
      <alignment vertical="center" wrapText="1"/>
    </xf>
    <xf numFmtId="0" fontId="3" fillId="6" borderId="14" xfId="2" applyFont="1" applyFill="1" applyBorder="1" applyAlignment="1">
      <alignment horizontal="center" vertical="center"/>
    </xf>
    <xf numFmtId="0" fontId="8" fillId="6" borderId="14" xfId="2" applyFont="1" applyFill="1" applyBorder="1" applyAlignment="1">
      <alignment vertical="center"/>
    </xf>
    <xf numFmtId="0" fontId="8" fillId="6" borderId="14" xfId="2" applyFont="1" applyFill="1" applyBorder="1" applyAlignment="1">
      <alignment vertical="center" shrinkToFit="1"/>
    </xf>
    <xf numFmtId="0" fontId="8" fillId="6" borderId="14" xfId="2" applyFont="1" applyFill="1" applyBorder="1" applyAlignment="1">
      <alignment horizontal="center" vertical="center"/>
    </xf>
    <xf numFmtId="0" fontId="8" fillId="6" borderId="14" xfId="2" applyFont="1" applyFill="1" applyBorder="1" applyAlignment="1">
      <alignment vertical="center" wrapText="1"/>
    </xf>
    <xf numFmtId="0" fontId="8" fillId="0" borderId="0" xfId="2" applyFont="1" applyFill="1" applyAlignment="1">
      <alignment vertical="center"/>
    </xf>
    <xf numFmtId="0" fontId="11" fillId="0" borderId="14" xfId="0" applyFont="1" applyFill="1" applyBorder="1" applyAlignment="1">
      <alignment horizontal="left" vertical="center"/>
    </xf>
    <xf numFmtId="0" fontId="7" fillId="0" borderId="14" xfId="2" applyFont="1" applyFill="1" applyBorder="1" applyAlignment="1">
      <alignment vertical="center"/>
    </xf>
    <xf numFmtId="0" fontId="11" fillId="0" borderId="14" xfId="0" applyFont="1" applyBorder="1" applyAlignment="1">
      <alignment horizontal="right" vertical="center"/>
    </xf>
    <xf numFmtId="0" fontId="11" fillId="0" borderId="14" xfId="0" quotePrefix="1" applyFont="1" applyBorder="1" applyAlignment="1">
      <alignment horizontal="right" vertical="center"/>
    </xf>
    <xf numFmtId="0" fontId="13" fillId="0" borderId="14" xfId="1" applyFont="1" applyBorder="1" applyAlignment="1">
      <alignment horizontal="right" vertical="center"/>
    </xf>
    <xf numFmtId="0" fontId="11" fillId="0" borderId="14" xfId="2" applyFont="1" applyFill="1" applyBorder="1" applyAlignment="1">
      <alignment vertical="center"/>
    </xf>
    <xf numFmtId="0" fontId="11" fillId="0" borderId="14" xfId="2" applyFont="1" applyFill="1" applyBorder="1" applyAlignment="1">
      <alignment horizontal="center" vertical="center"/>
    </xf>
    <xf numFmtId="0" fontId="11" fillId="0" borderId="14" xfId="2" applyFont="1" applyFill="1" applyBorder="1" applyAlignment="1">
      <alignment vertical="center" wrapText="1"/>
    </xf>
    <xf numFmtId="14" fontId="11" fillId="0" borderId="14" xfId="0" applyNumberFormat="1" applyFont="1" applyBorder="1" applyAlignment="1">
      <alignment horizontal="right" vertical="center"/>
    </xf>
    <xf numFmtId="0" fontId="7" fillId="0" borderId="0" xfId="2" applyFont="1" applyFill="1" applyAlignment="1">
      <alignment vertical="center"/>
    </xf>
    <xf numFmtId="0" fontId="15" fillId="0" borderId="14" xfId="0" quotePrefix="1" applyFont="1" applyBorder="1" applyAlignment="1"/>
    <xf numFmtId="0" fontId="14" fillId="0" borderId="14" xfId="0" applyFont="1" applyBorder="1"/>
    <xf numFmtId="0" fontId="17" fillId="0" borderId="14" xfId="2" applyFont="1" applyFill="1" applyBorder="1" applyAlignment="1">
      <alignment vertical="center"/>
    </xf>
    <xf numFmtId="0" fontId="16" fillId="0" borderId="14" xfId="2" applyFont="1" applyFill="1" applyBorder="1" applyAlignment="1">
      <alignment vertical="center"/>
    </xf>
    <xf numFmtId="0" fontId="0" fillId="0" borderId="14" xfId="0" quotePrefix="1" applyBorder="1" applyAlignment="1"/>
    <xf numFmtId="0" fontId="14" fillId="0" borderId="14" xfId="0" quotePrefix="1" applyFont="1" applyBorder="1" applyAlignment="1"/>
    <xf numFmtId="0" fontId="18" fillId="0" borderId="14" xfId="2" applyFont="1" applyFill="1" applyBorder="1" applyAlignment="1">
      <alignment vertical="center"/>
    </xf>
    <xf numFmtId="0" fontId="0" fillId="0" borderId="14" xfId="0" applyBorder="1"/>
    <xf numFmtId="0" fontId="0" fillId="0" borderId="14" xfId="0" quotePrefix="1" applyBorder="1" applyAlignment="1">
      <alignment horizontal="center"/>
    </xf>
    <xf numFmtId="0" fontId="16" fillId="0" borderId="14" xfId="2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0" fontId="11" fillId="0" borderId="14" xfId="0" applyFont="1" applyBorder="1" applyAlignment="1">
      <alignment horizontal="center" vertical="center"/>
    </xf>
    <xf numFmtId="0" fontId="11" fillId="0" borderId="14" xfId="0" quotePrefix="1" applyFont="1" applyBorder="1" applyAlignment="1">
      <alignment horizontal="center" vertical="center"/>
    </xf>
    <xf numFmtId="0" fontId="0" fillId="3" borderId="0" xfId="0" applyFill="1"/>
    <xf numFmtId="0" fontId="14" fillId="3" borderId="0" xfId="0" applyFont="1" applyFill="1"/>
    <xf numFmtId="0" fontId="19" fillId="0" borderId="0" xfId="0" applyFont="1"/>
    <xf numFmtId="0" fontId="12" fillId="8" borderId="0" xfId="0" applyFont="1" applyFill="1"/>
    <xf numFmtId="0" fontId="0" fillId="3" borderId="7" xfId="0" applyFill="1" applyBorder="1"/>
    <xf numFmtId="0" fontId="0" fillId="0" borderId="7" xfId="0" applyBorder="1"/>
    <xf numFmtId="0" fontId="11" fillId="3" borderId="7" xfId="0" applyFont="1" applyFill="1" applyBorder="1" applyAlignment="1">
      <alignment horizontal="left" vertical="center" wrapText="1"/>
    </xf>
    <xf numFmtId="0" fontId="20" fillId="8" borderId="0" xfId="0" applyFont="1" applyFill="1"/>
    <xf numFmtId="0" fontId="21" fillId="8" borderId="0" xfId="0" applyFont="1" applyFill="1"/>
    <xf numFmtId="0" fontId="22" fillId="8" borderId="0" xfId="0" applyFont="1" applyFill="1"/>
    <xf numFmtId="0" fontId="11" fillId="3" borderId="7" xfId="0" applyFont="1" applyFill="1" applyBorder="1" applyAlignment="1">
      <alignment horizontal="left" vertical="center" wrapText="1" indent="1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23" fillId="3" borderId="14" xfId="0" applyFont="1" applyFill="1" applyBorder="1" applyAlignment="1"/>
    <xf numFmtId="0" fontId="12" fillId="3" borderId="15" xfId="0" applyFont="1" applyFill="1" applyBorder="1" applyAlignment="1">
      <alignment horizontal="center"/>
    </xf>
    <xf numFmtId="0" fontId="12" fillId="3" borderId="16" xfId="0" applyFont="1" applyFill="1" applyBorder="1" applyAlignment="1">
      <alignment horizontal="center"/>
    </xf>
    <xf numFmtId="0" fontId="12" fillId="3" borderId="17" xfId="0" applyFont="1" applyFill="1" applyBorder="1" applyAlignment="1">
      <alignment horizontal="center"/>
    </xf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21" xfId="0" applyFill="1" applyBorder="1"/>
    <xf numFmtId="0" fontId="0" fillId="3" borderId="6" xfId="0" applyFill="1" applyBorder="1"/>
    <xf numFmtId="0" fontId="0" fillId="3" borderId="8" xfId="0" applyFill="1" applyBorder="1"/>
    <xf numFmtId="0" fontId="22" fillId="3" borderId="0" xfId="0" applyFont="1" applyFill="1"/>
    <xf numFmtId="0" fontId="22" fillId="0" borderId="0" xfId="0" applyFont="1"/>
    <xf numFmtId="0" fontId="25" fillId="0" borderId="14" xfId="0" applyFont="1" applyFill="1" applyBorder="1" applyAlignment="1">
      <alignment horizontal="left" vertical="center"/>
    </xf>
    <xf numFmtId="0" fontId="24" fillId="0" borderId="14" xfId="0" applyFont="1" applyFill="1" applyBorder="1" applyAlignment="1">
      <alignment horizontal="left" vertical="center"/>
    </xf>
    <xf numFmtId="0" fontId="26" fillId="0" borderId="0" xfId="0" applyFont="1" applyAlignment="1">
      <alignment vertical="center"/>
    </xf>
    <xf numFmtId="0" fontId="3" fillId="2" borderId="22" xfId="2" applyFont="1" applyFill="1" applyBorder="1" applyAlignment="1">
      <alignment horizontal="center" vertical="center"/>
    </xf>
    <xf numFmtId="0" fontId="3" fillId="2" borderId="13" xfId="2" applyFont="1" applyFill="1" applyBorder="1" applyAlignment="1">
      <alignment horizontal="center" vertical="center"/>
    </xf>
    <xf numFmtId="0" fontId="0" fillId="0" borderId="14" xfId="0" quotePrefix="1" applyBorder="1"/>
    <xf numFmtId="0" fontId="0" fillId="9" borderId="0" xfId="0" applyFill="1"/>
    <xf numFmtId="0" fontId="23" fillId="0" borderId="0" xfId="0" applyFont="1"/>
    <xf numFmtId="0" fontId="27" fillId="3" borderId="10" xfId="2" applyFont="1" applyFill="1" applyBorder="1" applyAlignment="1">
      <alignment horizontal="center" vertical="center"/>
    </xf>
    <xf numFmtId="0" fontId="29" fillId="3" borderId="10" xfId="2" applyFont="1" applyFill="1" applyBorder="1" applyAlignment="1">
      <alignment horizontal="center" vertical="center"/>
    </xf>
    <xf numFmtId="0" fontId="18" fillId="0" borderId="14" xfId="2" applyFont="1" applyFill="1" applyBorder="1" applyAlignment="1">
      <alignment vertical="center" shrinkToFit="1"/>
    </xf>
  </cellXfs>
  <cellStyles count="5">
    <cellStyle name="ハイパーリンク" xfId="1" builtinId="8"/>
    <cellStyle name="ハイパーリンク 2" xfId="3" xr:uid="{8BC5E1D3-9EB9-4D27-BB9F-B5A6357242C6}"/>
    <cellStyle name="標準" xfId="0" builtinId="0"/>
    <cellStyle name="標準 2" xfId="2" xr:uid="{062F5464-5712-4FA4-B703-9DE32693A3A4}"/>
    <cellStyle name="標準 2 2" xfId="4" xr:uid="{743CD21B-B024-44DC-9830-A16E77F5F87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2</xdr:row>
          <xdr:rowOff>142875</xdr:rowOff>
        </xdr:from>
        <xdr:to>
          <xdr:col>5</xdr:col>
          <xdr:colOff>47625</xdr:colOff>
          <xdr:row>4</xdr:row>
          <xdr:rowOff>9525</xdr:rowOff>
        </xdr:to>
        <xdr:sp macro="" textlink="">
          <xdr:nvSpPr>
            <xdr:cNvPr id="1025" name="btnSakusei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19999@163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04346-2ECF-48A6-8AE8-96D6B0BB01A3}">
  <dimension ref="F2:Z54"/>
  <sheetViews>
    <sheetView topLeftCell="A49" zoomScaleNormal="100" workbookViewId="0">
      <selection activeCell="AN50" sqref="AN50"/>
    </sheetView>
  </sheetViews>
  <sheetFormatPr defaultRowHeight="18.75"/>
  <cols>
    <col min="1" max="93" width="2.625" customWidth="1"/>
  </cols>
  <sheetData>
    <row r="2" spans="6:25"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7"/>
      <c r="W2" s="77"/>
      <c r="X2" s="77"/>
      <c r="Y2" s="77"/>
    </row>
    <row r="3" spans="6:25"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/>
      <c r="V3" s="77"/>
      <c r="W3" s="77"/>
      <c r="X3" s="77"/>
      <c r="Y3" s="77"/>
    </row>
    <row r="4" spans="6:25">
      <c r="F4" s="77"/>
      <c r="G4" s="77"/>
      <c r="H4" s="77"/>
      <c r="I4" s="77" t="s">
        <v>86</v>
      </c>
      <c r="J4" s="77"/>
      <c r="K4" s="77" t="s">
        <v>118</v>
      </c>
      <c r="L4" s="77"/>
      <c r="M4" s="77" t="s">
        <v>119</v>
      </c>
      <c r="N4" s="77"/>
      <c r="O4" s="77" t="s">
        <v>120</v>
      </c>
      <c r="P4" s="77"/>
      <c r="Q4" s="77"/>
      <c r="R4" s="77"/>
      <c r="S4" s="77"/>
      <c r="T4" s="77"/>
      <c r="U4" s="78"/>
      <c r="V4" s="77"/>
      <c r="W4" s="77"/>
      <c r="X4" s="77"/>
      <c r="Y4" s="77"/>
    </row>
    <row r="5" spans="6:25"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8"/>
      <c r="V5" s="77"/>
      <c r="W5" s="77"/>
      <c r="X5" s="77"/>
      <c r="Y5" s="77"/>
    </row>
    <row r="6" spans="6:25">
      <c r="F6" s="77"/>
      <c r="G6" s="77"/>
      <c r="H6" s="77"/>
      <c r="I6" s="77"/>
      <c r="J6" s="77"/>
      <c r="K6" s="77" t="s">
        <v>121</v>
      </c>
      <c r="L6" s="77" t="s">
        <v>122</v>
      </c>
      <c r="M6" s="77"/>
      <c r="N6" s="77"/>
      <c r="O6" s="77"/>
      <c r="P6" s="77"/>
      <c r="Q6" s="77" t="s">
        <v>121</v>
      </c>
      <c r="R6" s="77" t="s">
        <v>123</v>
      </c>
      <c r="S6" s="77"/>
      <c r="T6" s="77"/>
      <c r="U6" s="78"/>
      <c r="V6" s="77"/>
      <c r="W6" s="77"/>
      <c r="X6" s="77"/>
      <c r="Y6" s="77"/>
    </row>
    <row r="7" spans="6:25">
      <c r="F7" s="77"/>
      <c r="G7" s="77"/>
      <c r="H7" s="77"/>
      <c r="I7" s="77"/>
      <c r="J7" s="77"/>
      <c r="K7" s="77" t="s">
        <v>121</v>
      </c>
      <c r="L7" s="77" t="s">
        <v>124</v>
      </c>
      <c r="M7" s="77"/>
      <c r="N7" s="77"/>
      <c r="O7" s="77"/>
      <c r="P7" s="77"/>
      <c r="Q7" s="77" t="s">
        <v>121</v>
      </c>
      <c r="R7" s="77" t="s">
        <v>125</v>
      </c>
      <c r="S7" s="77"/>
      <c r="T7" s="77"/>
      <c r="U7" s="78"/>
      <c r="V7" s="77"/>
      <c r="W7" s="77"/>
      <c r="X7" s="77"/>
      <c r="Y7" s="77"/>
    </row>
    <row r="8" spans="6:25">
      <c r="F8" s="77"/>
      <c r="G8" s="77"/>
      <c r="H8" s="77"/>
      <c r="I8" s="77"/>
      <c r="J8" s="77"/>
      <c r="K8" s="77" t="s">
        <v>121</v>
      </c>
      <c r="L8" s="77" t="s">
        <v>126</v>
      </c>
      <c r="M8" s="77"/>
      <c r="N8" s="77"/>
      <c r="O8" s="77"/>
      <c r="P8" s="77"/>
      <c r="Q8" s="77" t="s">
        <v>121</v>
      </c>
      <c r="R8" s="77" t="s">
        <v>127</v>
      </c>
      <c r="S8" s="77"/>
      <c r="T8" s="77"/>
      <c r="U8" s="78"/>
      <c r="V8" s="77"/>
      <c r="W8" s="77"/>
      <c r="X8" s="77"/>
      <c r="Y8" s="77"/>
    </row>
    <row r="9" spans="6:25">
      <c r="F9" s="77"/>
      <c r="G9" s="77"/>
      <c r="H9" s="77"/>
      <c r="I9" s="77"/>
      <c r="J9" s="77"/>
      <c r="K9" s="77" t="s">
        <v>121</v>
      </c>
      <c r="L9" s="77" t="s">
        <v>128</v>
      </c>
      <c r="M9" s="77"/>
      <c r="N9" s="77"/>
      <c r="O9" s="77"/>
      <c r="P9" s="77"/>
      <c r="Q9" s="77"/>
      <c r="R9" s="77"/>
      <c r="S9" s="77"/>
      <c r="T9" s="77"/>
      <c r="U9" s="78"/>
      <c r="V9" s="77"/>
      <c r="W9" s="77"/>
      <c r="X9" s="77"/>
      <c r="Y9" s="77"/>
    </row>
    <row r="10" spans="6:25"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8"/>
      <c r="V10" s="77"/>
      <c r="W10" s="77"/>
      <c r="X10" s="77"/>
      <c r="Y10" s="77"/>
    </row>
    <row r="11" spans="6:25"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R11" s="77"/>
      <c r="S11" s="77"/>
      <c r="T11" s="77"/>
      <c r="U11" s="78"/>
      <c r="V11" s="77" t="s">
        <v>129</v>
      </c>
      <c r="W11" s="77"/>
      <c r="X11" s="77"/>
      <c r="Y11" s="77"/>
    </row>
    <row r="12" spans="6:25"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8"/>
      <c r="V12" s="77"/>
      <c r="W12" s="77"/>
      <c r="X12" s="77"/>
      <c r="Y12" s="77"/>
    </row>
    <row r="18" spans="6:25" ht="19.5">
      <c r="F18" s="77"/>
      <c r="G18" s="77"/>
      <c r="H18" s="79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8"/>
      <c r="V18" s="77"/>
      <c r="W18" s="77"/>
      <c r="X18" s="77"/>
      <c r="Y18" s="77"/>
    </row>
    <row r="19" spans="6:25"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</row>
    <row r="20" spans="6:25"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</row>
    <row r="21" spans="6:25"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</row>
    <row r="22" spans="6:25">
      <c r="F22" s="77"/>
      <c r="G22" s="80"/>
      <c r="H22" s="80" t="s">
        <v>130</v>
      </c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 t="s">
        <v>123</v>
      </c>
      <c r="V22" s="80"/>
      <c r="W22" s="80"/>
      <c r="X22" s="80"/>
      <c r="Y22" s="77"/>
    </row>
    <row r="23" spans="6:25" ht="36.75" customHeight="1">
      <c r="F23" s="81"/>
      <c r="G23" s="82"/>
      <c r="H23" s="83" t="s">
        <v>131</v>
      </c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83"/>
      <c r="Y23" s="81"/>
    </row>
    <row r="24" spans="6:25">
      <c r="F24" s="77"/>
      <c r="G24" s="80"/>
      <c r="H24" s="80" t="s">
        <v>130</v>
      </c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4" t="s">
        <v>132</v>
      </c>
      <c r="V24" s="80"/>
      <c r="W24" s="80"/>
      <c r="X24" s="80"/>
      <c r="Y24" s="77"/>
    </row>
    <row r="25" spans="6:25" ht="36.75" customHeight="1">
      <c r="F25" s="81"/>
      <c r="G25" s="82"/>
      <c r="H25" s="83" t="s">
        <v>133</v>
      </c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1"/>
    </row>
    <row r="26" spans="6:25">
      <c r="F26" s="77"/>
      <c r="G26" s="80"/>
      <c r="H26" s="80" t="s">
        <v>130</v>
      </c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5" t="s">
        <v>134</v>
      </c>
      <c r="V26" s="80"/>
      <c r="W26" s="80"/>
      <c r="X26" s="80"/>
      <c r="Y26" s="77"/>
    </row>
    <row r="27" spans="6:25" ht="36.75" customHeight="1">
      <c r="F27" s="81"/>
      <c r="G27" s="82"/>
      <c r="H27" s="83" t="s">
        <v>135</v>
      </c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1"/>
    </row>
    <row r="28" spans="6:25">
      <c r="F28" s="77"/>
      <c r="G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</row>
    <row r="29" spans="6:25"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</row>
    <row r="30" spans="6:25"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</row>
    <row r="34" spans="6:25" ht="19.5">
      <c r="F34" s="77"/>
      <c r="G34" s="77"/>
      <c r="H34" s="79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8"/>
      <c r="V34" s="77"/>
      <c r="W34" s="77"/>
      <c r="X34" s="77"/>
      <c r="Y34" s="77"/>
    </row>
    <row r="35" spans="6:25"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</row>
    <row r="36" spans="6:25">
      <c r="F36" s="77"/>
      <c r="G36" s="86"/>
      <c r="H36" s="86" t="s">
        <v>130</v>
      </c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 t="s">
        <v>123</v>
      </c>
      <c r="V36" s="86"/>
      <c r="W36" s="86"/>
      <c r="X36" s="86"/>
      <c r="Y36" s="77"/>
    </row>
    <row r="37" spans="6:25" ht="36.75" customHeight="1">
      <c r="F37" s="77"/>
      <c r="G37" s="82"/>
      <c r="H37" s="83" t="s">
        <v>136</v>
      </c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77"/>
    </row>
    <row r="38" spans="6:25" ht="36.75" customHeight="1">
      <c r="F38" s="77"/>
      <c r="G38" s="82"/>
      <c r="H38" s="87" t="s">
        <v>112</v>
      </c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77"/>
    </row>
    <row r="39" spans="6:25" ht="36.75" customHeight="1">
      <c r="F39" s="77"/>
      <c r="G39" s="82"/>
      <c r="H39" s="87" t="s">
        <v>113</v>
      </c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77"/>
    </row>
    <row r="40" spans="6:25" ht="36.75" customHeight="1">
      <c r="F40" s="77"/>
      <c r="G40" s="82"/>
      <c r="H40" s="87" t="s">
        <v>114</v>
      </c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77"/>
    </row>
    <row r="41" spans="6:25" ht="36.75" customHeight="1">
      <c r="F41" s="77"/>
      <c r="G41" s="82"/>
      <c r="H41" s="87" t="s">
        <v>115</v>
      </c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77"/>
    </row>
    <row r="42" spans="6:25"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</row>
    <row r="43" spans="6:25">
      <c r="F43" s="77"/>
      <c r="G43" s="77"/>
      <c r="H43" s="88"/>
      <c r="I43" s="89"/>
      <c r="J43" s="90"/>
      <c r="K43" s="77"/>
      <c r="L43" s="91" t="s">
        <v>137</v>
      </c>
      <c r="M43" s="78"/>
      <c r="N43" s="92" t="s">
        <v>138</v>
      </c>
      <c r="O43" s="93"/>
      <c r="P43" s="93"/>
      <c r="Q43" s="93"/>
      <c r="R43" s="94"/>
      <c r="S43" s="77"/>
      <c r="T43" s="92" t="s">
        <v>139</v>
      </c>
      <c r="U43" s="93"/>
      <c r="V43" s="93"/>
      <c r="W43" s="93"/>
      <c r="X43" s="94"/>
      <c r="Y43" s="77"/>
    </row>
    <row r="44" spans="6:25"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</row>
    <row r="45" spans="6:25">
      <c r="F45" s="77"/>
      <c r="G45" s="77"/>
      <c r="H45" s="95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7"/>
      <c r="Y45" s="77"/>
    </row>
    <row r="46" spans="6:25">
      <c r="F46" s="77"/>
      <c r="G46" s="77"/>
      <c r="H46" s="98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100"/>
      <c r="Y46" s="77"/>
    </row>
    <row r="47" spans="6:25">
      <c r="F47" s="77"/>
      <c r="G47" s="77"/>
      <c r="H47" s="98"/>
      <c r="I47" s="99"/>
      <c r="J47" s="99"/>
      <c r="K47" s="99"/>
      <c r="L47" s="99"/>
      <c r="M47" s="99"/>
      <c r="N47" s="99"/>
      <c r="O47" s="99"/>
      <c r="P47" s="99"/>
      <c r="Q47" s="99"/>
      <c r="R47" s="99"/>
      <c r="S47" s="99"/>
      <c r="T47" s="99"/>
      <c r="U47" s="99"/>
      <c r="V47" s="99"/>
      <c r="W47" s="99"/>
      <c r="X47" s="100"/>
      <c r="Y47" s="77"/>
    </row>
    <row r="48" spans="6:25">
      <c r="F48" s="77"/>
      <c r="G48" s="77"/>
      <c r="H48" s="98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100"/>
      <c r="Y48" s="77"/>
    </row>
    <row r="49" spans="6:26">
      <c r="F49" s="77"/>
      <c r="G49" s="77"/>
      <c r="H49" s="98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99"/>
      <c r="V49" s="99"/>
      <c r="W49" s="99"/>
      <c r="X49" s="100"/>
      <c r="Y49" s="77"/>
    </row>
    <row r="50" spans="6:26">
      <c r="F50" s="77"/>
      <c r="G50" s="77"/>
      <c r="H50" s="10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102"/>
      <c r="Y50" s="77"/>
    </row>
    <row r="51" spans="6:26"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</row>
    <row r="52" spans="6:26"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</row>
    <row r="53" spans="6:26">
      <c r="F53" s="77"/>
      <c r="G53" s="103" t="s">
        <v>140</v>
      </c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 t="s">
        <v>141</v>
      </c>
      <c r="W53" s="103"/>
      <c r="X53" s="103"/>
      <c r="Y53" s="103"/>
      <c r="Z53" s="104"/>
    </row>
    <row r="54" spans="6:26"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</row>
  </sheetData>
  <mergeCells count="11">
    <mergeCell ref="H40:X40"/>
    <mergeCell ref="H41:X41"/>
    <mergeCell ref="H43:J43"/>
    <mergeCell ref="N43:R43"/>
    <mergeCell ref="T43:X43"/>
    <mergeCell ref="H23:X23"/>
    <mergeCell ref="H25:X25"/>
    <mergeCell ref="H27:X27"/>
    <mergeCell ref="H37:X37"/>
    <mergeCell ref="H38:X38"/>
    <mergeCell ref="H39:X39"/>
  </mergeCells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B5ABC-B630-4C73-B1FC-0F14F561B86A}">
  <sheetPr codeName="Sheet1"/>
  <dimension ref="A1"/>
  <sheetViews>
    <sheetView workbookViewId="0">
      <selection activeCell="G8" sqref="G8"/>
    </sheetView>
  </sheetViews>
  <sheetFormatPr defaultRowHeight="18.75"/>
  <sheetData/>
  <phoneticPr fontId="4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Sakusei">
          <controlPr defaultSize="0" autoLine="0" r:id="rId4">
            <anchor moveWithCells="1">
              <from>
                <xdr:col>3</xdr:col>
                <xdr:colOff>666750</xdr:colOff>
                <xdr:row>2</xdr:row>
                <xdr:rowOff>142875</xdr:rowOff>
              </from>
              <to>
                <xdr:col>5</xdr:col>
                <xdr:colOff>47625</xdr:colOff>
                <xdr:row>4</xdr:row>
                <xdr:rowOff>9525</xdr:rowOff>
              </to>
            </anchor>
          </controlPr>
        </control>
      </mc:Choice>
      <mc:Fallback>
        <control shapeId="1025" r:id="rId3" name="btnSakuse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20E44-F9BB-4FC9-8E3D-E9ACC4D0A343}">
  <sheetPr codeName="Sheet15"/>
  <dimension ref="A1:L37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C10" sqref="C10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20" t="s">
        <v>1</v>
      </c>
    </row>
    <row r="2" spans="1:12">
      <c r="B2" s="21" t="s">
        <v>2</v>
      </c>
      <c r="C2" s="22"/>
      <c r="D2" s="21" t="s">
        <v>3</v>
      </c>
      <c r="E2" s="22"/>
      <c r="F2" s="23"/>
      <c r="G2" s="24"/>
      <c r="H2" s="25" t="s">
        <v>4</v>
      </c>
      <c r="I2" s="25" t="s">
        <v>5</v>
      </c>
      <c r="J2" s="25" t="s">
        <v>6</v>
      </c>
    </row>
    <row r="3" spans="1:12" ht="18" customHeight="1">
      <c r="B3" s="26"/>
      <c r="C3" s="27"/>
      <c r="D3" s="28"/>
      <c r="E3" s="29"/>
      <c r="F3" s="30"/>
      <c r="G3" s="31"/>
      <c r="H3" s="32"/>
      <c r="I3" s="32"/>
      <c r="J3" s="32"/>
    </row>
    <row r="4" spans="1:12">
      <c r="B4" s="3" t="s">
        <v>21</v>
      </c>
      <c r="C4" s="3" t="s">
        <v>22</v>
      </c>
      <c r="D4" s="33" t="s">
        <v>7</v>
      </c>
      <c r="E4" s="34"/>
      <c r="F4" s="34"/>
      <c r="G4" s="24"/>
      <c r="H4" s="35"/>
      <c r="I4" s="32"/>
      <c r="J4" s="32"/>
    </row>
    <row r="5" spans="1:12" ht="18" customHeight="1">
      <c r="B5" s="36" t="s">
        <v>69</v>
      </c>
      <c r="C5" s="36" t="s">
        <v>211</v>
      </c>
      <c r="D5" s="37"/>
      <c r="E5" s="38"/>
      <c r="F5" s="39"/>
      <c r="G5" s="31"/>
      <c r="H5" s="40"/>
      <c r="I5" s="40"/>
      <c r="J5" s="40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2" ht="15" hidden="1" customHeight="1">
      <c r="A8" s="48">
        <v>1</v>
      </c>
      <c r="B8" s="49" t="s">
        <v>16</v>
      </c>
      <c r="C8" s="50" t="s">
        <v>17</v>
      </c>
      <c r="D8" s="49" t="s">
        <v>18</v>
      </c>
      <c r="E8" s="49">
        <v>11</v>
      </c>
      <c r="F8" s="49"/>
      <c r="G8" s="51" t="s">
        <v>19</v>
      </c>
      <c r="H8" s="51" t="s">
        <v>20</v>
      </c>
      <c r="I8" s="49"/>
      <c r="J8" s="52"/>
      <c r="K8" s="53"/>
      <c r="L8" s="41"/>
    </row>
    <row r="9" spans="1:12" s="13" customFormat="1" ht="24.95" customHeight="1">
      <c r="A9" s="14">
        <f>IF(B9="","",ROW()-8)</f>
        <v>1</v>
      </c>
      <c r="B9" s="106" t="s">
        <v>156</v>
      </c>
      <c r="C9" s="54" t="s">
        <v>142</v>
      </c>
      <c r="D9" s="55" t="s">
        <v>63</v>
      </c>
      <c r="E9" s="55">
        <v>60</v>
      </c>
      <c r="F9" s="55"/>
      <c r="G9" s="10" t="s">
        <v>19</v>
      </c>
      <c r="H9" s="10" t="s">
        <v>20</v>
      </c>
      <c r="I9" s="55"/>
      <c r="J9" s="55"/>
      <c r="K9" s="56" t="s">
        <v>60</v>
      </c>
      <c r="L9" s="12"/>
    </row>
    <row r="10" spans="1:12" s="13" customFormat="1" ht="24.95" customHeight="1">
      <c r="A10" s="14">
        <f>IF(B10="","",ROW()-8)</f>
        <v>2</v>
      </c>
      <c r="B10" s="106" t="s">
        <v>157</v>
      </c>
      <c r="C10" s="54" t="s">
        <v>143</v>
      </c>
      <c r="D10" s="55" t="s">
        <v>63</v>
      </c>
      <c r="E10" s="55">
        <v>60</v>
      </c>
      <c r="F10" s="55"/>
      <c r="G10" s="10" t="s">
        <v>19</v>
      </c>
      <c r="H10" s="10"/>
      <c r="I10" s="55"/>
      <c r="J10" s="55"/>
      <c r="K10" s="56">
        <v>123456</v>
      </c>
      <c r="L10" s="12"/>
    </row>
    <row r="11" spans="1:12" s="13" customFormat="1" ht="24.95" customHeight="1">
      <c r="A11" s="14">
        <f t="shared" ref="A11:A37" si="0">IF(B11="","",ROW()-8)</f>
        <v>3</v>
      </c>
      <c r="B11" s="106" t="s">
        <v>158</v>
      </c>
      <c r="C11" s="54" t="s">
        <v>144</v>
      </c>
      <c r="D11" s="55" t="s">
        <v>63</v>
      </c>
      <c r="E11" s="55">
        <v>20</v>
      </c>
      <c r="F11" s="55"/>
      <c r="G11" s="10" t="s">
        <v>19</v>
      </c>
      <c r="H11" s="10"/>
      <c r="I11" s="55"/>
      <c r="J11" s="55"/>
      <c r="K11" s="56" t="s">
        <v>68</v>
      </c>
      <c r="L11" s="12"/>
    </row>
    <row r="12" spans="1:12" s="13" customFormat="1" ht="24.95" customHeight="1">
      <c r="A12" s="14">
        <f t="shared" si="0"/>
        <v>4</v>
      </c>
      <c r="B12" s="106" t="s">
        <v>155</v>
      </c>
      <c r="C12" s="54" t="s">
        <v>145</v>
      </c>
      <c r="D12" s="55" t="s">
        <v>64</v>
      </c>
      <c r="E12" s="55">
        <v>11</v>
      </c>
      <c r="F12" s="55"/>
      <c r="G12" s="10" t="s">
        <v>66</v>
      </c>
      <c r="H12" s="10"/>
      <c r="I12" s="55"/>
      <c r="J12" s="55"/>
      <c r="K12" s="57" t="s">
        <v>61</v>
      </c>
      <c r="L12" s="12"/>
    </row>
    <row r="13" spans="1:12" s="13" customFormat="1" ht="24.95" customHeight="1">
      <c r="A13" s="14">
        <f t="shared" si="0"/>
        <v>5</v>
      </c>
      <c r="B13" s="106" t="s">
        <v>154</v>
      </c>
      <c r="C13" s="54" t="s">
        <v>146</v>
      </c>
      <c r="D13" s="55" t="s">
        <v>63</v>
      </c>
      <c r="E13" s="55">
        <v>60</v>
      </c>
      <c r="F13" s="55"/>
      <c r="G13" s="10" t="s">
        <v>19</v>
      </c>
      <c r="H13" s="10"/>
      <c r="I13" s="55"/>
      <c r="J13" s="55"/>
      <c r="K13" s="58" t="s">
        <v>62</v>
      </c>
      <c r="L13" s="12"/>
    </row>
    <row r="14" spans="1:12" s="13" customFormat="1" ht="24.95" customHeight="1">
      <c r="A14" s="14">
        <f t="shared" si="0"/>
        <v>6</v>
      </c>
      <c r="B14" s="54" t="s">
        <v>67</v>
      </c>
      <c r="C14" s="54" t="s">
        <v>147</v>
      </c>
      <c r="D14" s="55" t="s">
        <v>64</v>
      </c>
      <c r="E14" s="55">
        <v>1</v>
      </c>
      <c r="F14" s="55"/>
      <c r="G14" s="10" t="s">
        <v>66</v>
      </c>
      <c r="H14" s="10"/>
      <c r="I14" s="55"/>
      <c r="J14" s="55"/>
      <c r="K14" s="56">
        <v>1</v>
      </c>
      <c r="L14" s="12"/>
    </row>
    <row r="15" spans="1:12" s="13" customFormat="1" ht="24.95" customHeight="1">
      <c r="A15" s="14">
        <f t="shared" si="0"/>
        <v>7</v>
      </c>
      <c r="B15" s="106" t="s">
        <v>153</v>
      </c>
      <c r="C15" s="54" t="s">
        <v>148</v>
      </c>
      <c r="D15" s="55" t="s">
        <v>63</v>
      </c>
      <c r="E15" s="55">
        <v>60</v>
      </c>
      <c r="F15" s="55"/>
      <c r="G15" s="10" t="s">
        <v>66</v>
      </c>
      <c r="H15" s="10"/>
      <c r="I15" s="55"/>
      <c r="J15" s="11"/>
      <c r="K15" s="56"/>
      <c r="L15" s="12"/>
    </row>
    <row r="16" spans="1:12" s="13" customFormat="1" ht="24.95" customHeight="1">
      <c r="A16" s="14">
        <f t="shared" si="0"/>
        <v>8</v>
      </c>
      <c r="B16" s="105" t="s">
        <v>152</v>
      </c>
      <c r="C16" s="54" t="s">
        <v>149</v>
      </c>
      <c r="D16" s="55" t="s">
        <v>64</v>
      </c>
      <c r="E16" s="55">
        <v>1</v>
      </c>
      <c r="F16" s="59"/>
      <c r="G16" s="10" t="s">
        <v>66</v>
      </c>
      <c r="H16" s="60"/>
      <c r="I16" s="59"/>
      <c r="J16" s="61"/>
      <c r="K16" s="56">
        <v>1</v>
      </c>
    </row>
    <row r="17" spans="1:12" s="13" customFormat="1" ht="24.95" customHeight="1">
      <c r="A17" s="14">
        <f t="shared" si="0"/>
        <v>9</v>
      </c>
      <c r="B17" s="105" t="s">
        <v>151</v>
      </c>
      <c r="C17" s="54" t="s">
        <v>150</v>
      </c>
      <c r="D17" s="55" t="s">
        <v>64</v>
      </c>
      <c r="E17" s="55">
        <v>1</v>
      </c>
      <c r="F17" s="59"/>
      <c r="G17" s="10" t="s">
        <v>66</v>
      </c>
      <c r="H17" s="60"/>
      <c r="I17" s="59"/>
      <c r="J17" s="61"/>
      <c r="K17" s="56">
        <v>1</v>
      </c>
    </row>
    <row r="18" spans="1:12" s="13" customFormat="1" ht="24.95" customHeight="1">
      <c r="A18" s="14">
        <f t="shared" si="0"/>
        <v>10</v>
      </c>
      <c r="B18" s="106" t="s">
        <v>159</v>
      </c>
      <c r="C18" s="54" t="s">
        <v>107</v>
      </c>
      <c r="D18" s="55" t="s">
        <v>65</v>
      </c>
      <c r="E18" s="59"/>
      <c r="F18" s="59"/>
      <c r="G18" s="10" t="s">
        <v>19</v>
      </c>
      <c r="H18" s="60"/>
      <c r="I18" s="59"/>
      <c r="J18" s="61"/>
      <c r="K18" s="62">
        <v>43651</v>
      </c>
    </row>
    <row r="19" spans="1:12" s="13" customFormat="1" ht="24.95" customHeight="1">
      <c r="A19" s="14">
        <f t="shared" si="0"/>
        <v>11</v>
      </c>
      <c r="B19" s="106" t="s">
        <v>160</v>
      </c>
      <c r="C19" s="54" t="s">
        <v>108</v>
      </c>
      <c r="D19" s="55" t="s">
        <v>65</v>
      </c>
      <c r="E19" s="55"/>
      <c r="F19" s="55"/>
      <c r="G19" s="10" t="s">
        <v>19</v>
      </c>
      <c r="H19" s="10"/>
      <c r="I19" s="55"/>
      <c r="J19" s="55"/>
      <c r="K19" s="62">
        <v>43651</v>
      </c>
      <c r="L19" s="12"/>
    </row>
    <row r="20" spans="1:12" s="13" customFormat="1" ht="24.95" customHeight="1">
      <c r="A20" s="14" t="str">
        <f t="shared" si="0"/>
        <v/>
      </c>
      <c r="B20" s="55"/>
      <c r="C20" s="9"/>
      <c r="D20" s="55"/>
      <c r="E20" s="55"/>
      <c r="F20" s="55"/>
      <c r="G20" s="10"/>
      <c r="H20" s="10"/>
      <c r="I20" s="10"/>
      <c r="J20" s="55"/>
      <c r="K20" s="63"/>
      <c r="L20" s="12"/>
    </row>
    <row r="21" spans="1:12" s="13" customFormat="1" ht="24.95" customHeight="1">
      <c r="A21" s="14" t="str">
        <f t="shared" si="0"/>
        <v/>
      </c>
      <c r="B21" s="55"/>
      <c r="C21" s="9"/>
      <c r="D21" s="55"/>
      <c r="E21" s="55"/>
      <c r="F21" s="55"/>
      <c r="G21" s="10"/>
      <c r="H21" s="10"/>
      <c r="I21" s="55"/>
      <c r="J21" s="55"/>
      <c r="K21" s="63"/>
      <c r="L21" s="12"/>
    </row>
    <row r="22" spans="1:12" s="13" customFormat="1" ht="24.95" customHeight="1">
      <c r="A22" s="14" t="str">
        <f t="shared" si="0"/>
        <v/>
      </c>
      <c r="B22" s="55"/>
      <c r="C22" s="9"/>
      <c r="D22" s="55"/>
      <c r="E22" s="55"/>
      <c r="F22" s="55"/>
      <c r="G22" s="10"/>
      <c r="H22" s="10"/>
      <c r="I22" s="55"/>
      <c r="J22" s="55"/>
      <c r="K22" s="63"/>
      <c r="L22" s="12"/>
    </row>
    <row r="23" spans="1:12" s="13" customFormat="1" ht="24.95" customHeight="1">
      <c r="A23" s="14" t="str">
        <f t="shared" si="0"/>
        <v/>
      </c>
      <c r="B23" s="55"/>
      <c r="C23" s="9"/>
      <c r="D23" s="55"/>
      <c r="E23" s="55"/>
      <c r="F23" s="55"/>
      <c r="G23" s="10"/>
      <c r="H23" s="10"/>
      <c r="I23" s="55"/>
      <c r="J23" s="55"/>
      <c r="K23" s="63"/>
      <c r="L23" s="12"/>
    </row>
    <row r="24" spans="1:12" s="13" customFormat="1" ht="24.95" customHeight="1">
      <c r="A24" s="14" t="str">
        <f t="shared" si="0"/>
        <v/>
      </c>
      <c r="B24" s="55"/>
      <c r="C24" s="9"/>
      <c r="D24" s="55"/>
      <c r="E24" s="55"/>
      <c r="F24" s="55"/>
      <c r="G24" s="10"/>
      <c r="H24" s="10"/>
      <c r="I24" s="55"/>
      <c r="J24" s="55"/>
      <c r="K24" s="63"/>
      <c r="L24" s="12"/>
    </row>
    <row r="25" spans="1:12" ht="24.95" customHeight="1">
      <c r="A25" s="42" t="str">
        <f t="shared" si="0"/>
        <v/>
      </c>
      <c r="B25" s="43"/>
      <c r="C25" s="44"/>
      <c r="D25" s="43"/>
      <c r="E25" s="43"/>
      <c r="F25" s="43"/>
      <c r="G25" s="45"/>
      <c r="H25" s="45"/>
      <c r="I25" s="43"/>
      <c r="J25" s="43"/>
      <c r="K25" s="41"/>
      <c r="L25" s="41"/>
    </row>
    <row r="26" spans="1:12" ht="24.95" customHeight="1">
      <c r="A26" s="42" t="str">
        <f t="shared" si="0"/>
        <v/>
      </c>
      <c r="B26" s="43"/>
      <c r="C26" s="44"/>
      <c r="D26" s="43"/>
      <c r="E26" s="43"/>
      <c r="F26" s="43"/>
      <c r="G26" s="45"/>
      <c r="H26" s="45"/>
      <c r="I26" s="43"/>
      <c r="J26" s="43"/>
      <c r="K26" s="41"/>
      <c r="L26" s="41"/>
    </row>
    <row r="27" spans="1:12" ht="24.95" customHeight="1">
      <c r="A27" s="42" t="str">
        <f t="shared" si="0"/>
        <v/>
      </c>
      <c r="B27" s="43"/>
      <c r="C27" s="44"/>
      <c r="D27" s="43"/>
      <c r="E27" s="43"/>
      <c r="F27" s="43"/>
      <c r="G27" s="45"/>
      <c r="H27" s="45"/>
      <c r="I27" s="43"/>
      <c r="J27" s="43"/>
      <c r="K27" s="41"/>
      <c r="L27" s="41"/>
    </row>
    <row r="28" spans="1:12" ht="24.95" customHeight="1">
      <c r="A28" s="42" t="str">
        <f t="shared" si="0"/>
        <v/>
      </c>
      <c r="B28" s="46"/>
      <c r="C28" s="44"/>
      <c r="D28" s="46"/>
      <c r="E28" s="46"/>
      <c r="F28" s="43"/>
      <c r="G28" s="45"/>
      <c r="H28" s="45"/>
      <c r="I28" s="43"/>
      <c r="J28" s="47"/>
      <c r="K28" s="41"/>
      <c r="L28" s="41"/>
    </row>
    <row r="29" spans="1:12" ht="24.95" customHeight="1">
      <c r="A29" s="42" t="str">
        <f t="shared" si="0"/>
        <v/>
      </c>
      <c r="B29" s="46"/>
      <c r="C29" s="44"/>
      <c r="D29" s="46"/>
      <c r="E29" s="46"/>
      <c r="F29" s="43"/>
      <c r="G29" s="45"/>
      <c r="H29" s="45"/>
      <c r="I29" s="43"/>
      <c r="J29" s="47"/>
      <c r="K29" s="41"/>
      <c r="L29" s="41"/>
    </row>
    <row r="30" spans="1:12" ht="24.95" customHeight="1">
      <c r="A30" s="42" t="str">
        <f t="shared" si="0"/>
        <v/>
      </c>
      <c r="B30" s="46"/>
      <c r="C30" s="44"/>
      <c r="D30" s="46"/>
      <c r="E30" s="46"/>
      <c r="F30" s="43"/>
      <c r="G30" s="45"/>
      <c r="H30" s="45"/>
      <c r="I30" s="43"/>
      <c r="J30" s="47"/>
      <c r="K30" s="41"/>
      <c r="L30" s="41"/>
    </row>
    <row r="31" spans="1:12" ht="24.95" customHeight="1">
      <c r="A31" s="42" t="str">
        <f t="shared" si="0"/>
        <v/>
      </c>
      <c r="B31" s="46"/>
      <c r="C31" s="44"/>
      <c r="D31" s="46"/>
      <c r="E31" s="46"/>
      <c r="F31" s="43"/>
      <c r="G31" s="45"/>
      <c r="H31" s="45"/>
      <c r="I31" s="43"/>
      <c r="J31" s="47"/>
      <c r="K31" s="41"/>
      <c r="L31" s="41"/>
    </row>
    <row r="32" spans="1:12" ht="24.95" customHeight="1">
      <c r="A32" s="42" t="str">
        <f t="shared" si="0"/>
        <v/>
      </c>
      <c r="B32" s="43"/>
      <c r="C32" s="44"/>
      <c r="D32" s="43"/>
      <c r="E32" s="43"/>
      <c r="F32" s="43"/>
      <c r="G32" s="45"/>
      <c r="H32" s="45"/>
      <c r="I32" s="43"/>
      <c r="J32" s="47"/>
      <c r="K32" s="41"/>
      <c r="L32" s="41"/>
    </row>
    <row r="33" spans="1:12" ht="24.95" customHeight="1">
      <c r="A33" s="42" t="str">
        <f t="shared" si="0"/>
        <v/>
      </c>
      <c r="B33" s="43"/>
      <c r="C33" s="44"/>
      <c r="D33" s="43"/>
      <c r="E33" s="43"/>
      <c r="F33" s="43"/>
      <c r="G33" s="45"/>
      <c r="H33" s="45"/>
      <c r="I33" s="43"/>
      <c r="J33" s="47"/>
      <c r="K33" s="41"/>
      <c r="L33" s="41"/>
    </row>
    <row r="34" spans="1:12" ht="24.95" customHeight="1">
      <c r="A34" s="42" t="str">
        <f t="shared" si="0"/>
        <v/>
      </c>
      <c r="B34" s="43"/>
      <c r="C34" s="44"/>
      <c r="D34" s="43"/>
      <c r="E34" s="43"/>
      <c r="F34" s="43"/>
      <c r="G34" s="45"/>
      <c r="H34" s="45"/>
      <c r="I34" s="43"/>
      <c r="J34" s="47"/>
      <c r="K34" s="41"/>
      <c r="L34" s="41"/>
    </row>
    <row r="35" spans="1:12" ht="24.95" customHeight="1">
      <c r="A35" s="42" t="str">
        <f t="shared" si="0"/>
        <v/>
      </c>
      <c r="B35" s="43"/>
      <c r="C35" s="44"/>
      <c r="D35" s="43"/>
      <c r="E35" s="43"/>
      <c r="F35" s="43"/>
      <c r="G35" s="45"/>
      <c r="H35" s="45"/>
      <c r="I35" s="43"/>
      <c r="J35" s="47"/>
      <c r="K35" s="41"/>
      <c r="L35" s="41"/>
    </row>
    <row r="36" spans="1:12" ht="24.95" customHeight="1">
      <c r="A36" s="42" t="str">
        <f t="shared" si="0"/>
        <v/>
      </c>
      <c r="B36" s="43"/>
      <c r="C36" s="44"/>
      <c r="D36" s="43"/>
      <c r="E36" s="43"/>
      <c r="F36" s="43"/>
      <c r="G36" s="45"/>
      <c r="H36" s="45"/>
      <c r="I36" s="43"/>
      <c r="J36" s="47"/>
      <c r="K36" s="41"/>
      <c r="L36" s="41"/>
    </row>
    <row r="37" spans="1:12" ht="24.95" customHeight="1">
      <c r="A37" s="42" t="str">
        <f t="shared" si="0"/>
        <v/>
      </c>
      <c r="B37" s="43"/>
      <c r="C37" s="44"/>
      <c r="D37" s="43"/>
      <c r="E37" s="43"/>
      <c r="F37" s="43"/>
      <c r="G37" s="45"/>
      <c r="H37" s="45"/>
      <c r="I37" s="43"/>
      <c r="J37" s="47"/>
      <c r="K37" s="41"/>
      <c r="L37" s="41"/>
    </row>
  </sheetData>
  <phoneticPr fontId="5"/>
  <hyperlinks>
    <hyperlink ref="J1" location="目次!A1" display="テーブル一覧へ" xr:uid="{90C29312-479F-4D0F-927F-622BD38AB12E}"/>
    <hyperlink ref="K13" r:id="rId1" xr:uid="{F2F5532E-1EF0-493F-8117-66D9EAB08FE2}"/>
  </hyperlinks>
  <pageMargins left="0.39370078740157483" right="0.39370078740157483" top="0.74803149606299213" bottom="0.39370078740157483" header="0.31496062992125984" footer="0.19685039370078741"/>
  <pageSetup paperSize="9" orientation="landscape" r:id="rId2"/>
  <headerFooter>
    <oddHeader>&amp;L&amp;9&amp;F&amp;R&amp;9&amp;A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9E295-A9B1-4116-8054-F57DD3F9E242}">
  <sheetPr codeName="Sheet16"/>
  <dimension ref="A1:M24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7.625" style="1" customWidth="1"/>
    <col min="12" max="12" width="9.75" style="1" customWidth="1"/>
    <col min="13" max="13" width="9.375" style="1" customWidth="1"/>
    <col min="14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3">
      <c r="A1" s="1" t="s">
        <v>0</v>
      </c>
      <c r="J1" s="20" t="s">
        <v>1</v>
      </c>
    </row>
    <row r="2" spans="1:13">
      <c r="B2" s="21" t="s">
        <v>2</v>
      </c>
      <c r="C2" s="22"/>
      <c r="D2" s="21" t="s">
        <v>3</v>
      </c>
      <c r="E2" s="22"/>
      <c r="F2" s="23"/>
      <c r="G2" s="24"/>
      <c r="H2" s="25" t="s">
        <v>4</v>
      </c>
      <c r="I2" s="25" t="s">
        <v>5</v>
      </c>
      <c r="J2" s="25" t="s">
        <v>6</v>
      </c>
    </row>
    <row r="3" spans="1:13" ht="18" customHeight="1">
      <c r="B3" s="26"/>
      <c r="C3" s="27"/>
      <c r="D3" s="28"/>
      <c r="E3" s="29"/>
      <c r="F3" s="30"/>
      <c r="G3" s="31"/>
      <c r="H3" s="32"/>
      <c r="I3" s="32"/>
      <c r="J3" s="32"/>
    </row>
    <row r="4" spans="1:13">
      <c r="B4" s="3" t="s">
        <v>21</v>
      </c>
      <c r="C4" s="3" t="s">
        <v>22</v>
      </c>
      <c r="D4" s="33" t="s">
        <v>7</v>
      </c>
      <c r="E4" s="34"/>
      <c r="F4" s="34"/>
      <c r="G4" s="24"/>
      <c r="H4" s="35"/>
      <c r="I4" s="32"/>
      <c r="J4" s="32"/>
    </row>
    <row r="5" spans="1:13" ht="18" customHeight="1">
      <c r="B5" s="36" t="s">
        <v>70</v>
      </c>
      <c r="C5" s="36" t="s">
        <v>212</v>
      </c>
      <c r="D5" s="37"/>
      <c r="E5" s="38"/>
      <c r="F5" s="39"/>
      <c r="G5" s="31"/>
      <c r="H5" s="40"/>
      <c r="I5" s="40"/>
      <c r="J5" s="40"/>
    </row>
    <row r="6" spans="1:13" ht="4.1500000000000004" customHeight="1"/>
    <row r="7" spans="1:13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3" ht="15" hidden="1" customHeight="1">
      <c r="A8" s="48">
        <v>1</v>
      </c>
      <c r="B8" s="49" t="s">
        <v>16</v>
      </c>
      <c r="C8" s="50" t="s">
        <v>17</v>
      </c>
      <c r="D8" s="49" t="s">
        <v>64</v>
      </c>
      <c r="E8" s="49">
        <v>11</v>
      </c>
      <c r="F8" s="49"/>
      <c r="G8" s="51" t="s">
        <v>19</v>
      </c>
      <c r="H8" s="51" t="s">
        <v>20</v>
      </c>
      <c r="I8" s="49"/>
      <c r="J8" s="52"/>
      <c r="K8" s="53"/>
      <c r="L8" s="41"/>
    </row>
    <row r="9" spans="1:13" s="13" customFormat="1" ht="24.95" customHeight="1">
      <c r="A9" s="14">
        <f>IF(B9="","",ROW()-8)</f>
        <v>1</v>
      </c>
      <c r="B9" s="55" t="s">
        <v>85</v>
      </c>
      <c r="C9" s="9" t="s">
        <v>94</v>
      </c>
      <c r="D9" s="55" t="s">
        <v>64</v>
      </c>
      <c r="E9" s="55">
        <v>1</v>
      </c>
      <c r="F9" s="55"/>
      <c r="G9" s="10" t="s">
        <v>19</v>
      </c>
      <c r="H9" s="10" t="s">
        <v>71</v>
      </c>
      <c r="I9" s="10"/>
      <c r="J9" s="55"/>
      <c r="K9" s="74" t="s">
        <v>86</v>
      </c>
      <c r="L9" s="74" t="s">
        <v>86</v>
      </c>
      <c r="M9" s="74" t="s">
        <v>86</v>
      </c>
    </row>
    <row r="10" spans="1:13" s="13" customFormat="1" ht="24.95" customHeight="1">
      <c r="A10" s="14">
        <f>IF(B10="","",ROW()-8)</f>
        <v>2</v>
      </c>
      <c r="B10" s="55" t="s">
        <v>73</v>
      </c>
      <c r="C10" s="9" t="s">
        <v>95</v>
      </c>
      <c r="D10" s="55" t="s">
        <v>64</v>
      </c>
      <c r="E10" s="55">
        <v>6</v>
      </c>
      <c r="F10" s="55"/>
      <c r="G10" s="10" t="s">
        <v>19</v>
      </c>
      <c r="H10" s="10" t="s">
        <v>71</v>
      </c>
      <c r="I10" s="10"/>
      <c r="J10" s="55"/>
      <c r="K10" s="75">
        <v>201907</v>
      </c>
      <c r="L10" s="75">
        <v>201907</v>
      </c>
      <c r="M10" s="75">
        <v>201907</v>
      </c>
    </row>
    <row r="11" spans="1:13" s="13" customFormat="1" ht="24.95" customHeight="1">
      <c r="A11" s="14">
        <f t="shared" ref="A11:A24" si="0">IF(B11="","",ROW()-8)</f>
        <v>3</v>
      </c>
      <c r="B11" s="70" t="s">
        <v>88</v>
      </c>
      <c r="C11" s="9" t="s">
        <v>96</v>
      </c>
      <c r="D11" s="55" t="s">
        <v>63</v>
      </c>
      <c r="E11" s="55">
        <v>2</v>
      </c>
      <c r="F11" s="55"/>
      <c r="G11" s="10" t="s">
        <v>19</v>
      </c>
      <c r="H11" s="10" t="s">
        <v>71</v>
      </c>
      <c r="I11" s="10"/>
      <c r="J11" s="55"/>
      <c r="K11" s="76">
        <v>1</v>
      </c>
      <c r="L11" s="76">
        <v>1</v>
      </c>
      <c r="M11" s="76">
        <v>1</v>
      </c>
    </row>
    <row r="12" spans="1:13" s="13" customFormat="1" ht="24.95" customHeight="1">
      <c r="A12" s="14">
        <f t="shared" si="0"/>
        <v>4</v>
      </c>
      <c r="B12" s="70" t="s">
        <v>161</v>
      </c>
      <c r="C12" s="9" t="s">
        <v>97</v>
      </c>
      <c r="D12" s="55" t="s">
        <v>63</v>
      </c>
      <c r="E12" s="55">
        <v>200</v>
      </c>
      <c r="F12" s="55"/>
      <c r="G12" s="73" t="s">
        <v>116</v>
      </c>
      <c r="H12" s="10"/>
      <c r="I12" s="10"/>
      <c r="J12" s="55"/>
      <c r="K12" s="74" t="s">
        <v>109</v>
      </c>
      <c r="L12" s="74" t="s">
        <v>110</v>
      </c>
      <c r="M12" s="74" t="s">
        <v>110</v>
      </c>
    </row>
    <row r="13" spans="1:13" s="13" customFormat="1" ht="24.95" customHeight="1">
      <c r="A13" s="14">
        <f t="shared" si="0"/>
        <v>5</v>
      </c>
      <c r="B13" s="67" t="s">
        <v>89</v>
      </c>
      <c r="C13" s="9" t="s">
        <v>98</v>
      </c>
      <c r="D13" s="55" t="s">
        <v>63</v>
      </c>
      <c r="E13" s="55">
        <v>3</v>
      </c>
      <c r="F13" s="55"/>
      <c r="G13" s="10" t="s">
        <v>19</v>
      </c>
      <c r="H13" s="10" t="s">
        <v>71</v>
      </c>
      <c r="I13" s="10"/>
      <c r="J13" s="55"/>
      <c r="K13" s="75">
        <v>0</v>
      </c>
      <c r="L13" s="75">
        <v>1</v>
      </c>
      <c r="M13" s="75">
        <v>2</v>
      </c>
    </row>
    <row r="14" spans="1:13" s="13" customFormat="1" ht="24.95" customHeight="1">
      <c r="A14" s="14">
        <f t="shared" si="0"/>
        <v>6</v>
      </c>
      <c r="B14" s="66" t="s">
        <v>74</v>
      </c>
      <c r="C14" s="9" t="s">
        <v>99</v>
      </c>
      <c r="D14" s="55" t="s">
        <v>63</v>
      </c>
      <c r="E14" s="55">
        <v>200</v>
      </c>
      <c r="F14" s="55"/>
      <c r="G14" s="73" t="s">
        <v>116</v>
      </c>
      <c r="H14" s="10"/>
      <c r="I14" s="10"/>
      <c r="J14" s="55"/>
      <c r="K14" s="74" t="s">
        <v>110</v>
      </c>
      <c r="L14" s="74" t="s">
        <v>111</v>
      </c>
      <c r="M14" s="74" t="s">
        <v>111</v>
      </c>
    </row>
    <row r="15" spans="1:13" s="13" customFormat="1" ht="24.95" customHeight="1">
      <c r="A15" s="14">
        <f t="shared" si="0"/>
        <v>7</v>
      </c>
      <c r="B15" s="67" t="s">
        <v>90</v>
      </c>
      <c r="C15" s="9" t="s">
        <v>100</v>
      </c>
      <c r="D15" s="55" t="s">
        <v>63</v>
      </c>
      <c r="E15" s="55">
        <v>100</v>
      </c>
      <c r="F15" s="55"/>
      <c r="G15" s="73" t="s">
        <v>116</v>
      </c>
      <c r="H15" s="10"/>
      <c r="I15" s="10"/>
      <c r="J15" s="55"/>
      <c r="K15" s="74" t="s">
        <v>110</v>
      </c>
      <c r="L15" s="74" t="s">
        <v>112</v>
      </c>
      <c r="M15" s="74" t="s">
        <v>112</v>
      </c>
    </row>
    <row r="16" spans="1:13" s="13" customFormat="1" ht="24.95" customHeight="1">
      <c r="A16" s="14">
        <f t="shared" si="0"/>
        <v>8</v>
      </c>
      <c r="B16" s="67" t="s">
        <v>91</v>
      </c>
      <c r="C16" s="9" t="s">
        <v>101</v>
      </c>
      <c r="D16" s="55" t="s">
        <v>63</v>
      </c>
      <c r="E16" s="55">
        <v>100</v>
      </c>
      <c r="F16" s="55"/>
      <c r="G16" s="73" t="s">
        <v>116</v>
      </c>
      <c r="H16" s="10"/>
      <c r="I16" s="10"/>
      <c r="J16" s="55"/>
      <c r="K16" s="74" t="s">
        <v>110</v>
      </c>
      <c r="L16" s="74" t="s">
        <v>113</v>
      </c>
      <c r="M16" s="74" t="s">
        <v>113</v>
      </c>
    </row>
    <row r="17" spans="1:13" s="13" customFormat="1" ht="24.95" customHeight="1">
      <c r="A17" s="14">
        <f t="shared" si="0"/>
        <v>9</v>
      </c>
      <c r="B17" s="67" t="s">
        <v>92</v>
      </c>
      <c r="C17" s="9" t="s">
        <v>102</v>
      </c>
      <c r="D17" s="55" t="s">
        <v>63</v>
      </c>
      <c r="E17" s="55">
        <v>100</v>
      </c>
      <c r="F17" s="55"/>
      <c r="G17" s="73" t="s">
        <v>116</v>
      </c>
      <c r="H17" s="10"/>
      <c r="I17" s="10"/>
      <c r="J17" s="55"/>
      <c r="K17" s="74" t="s">
        <v>110</v>
      </c>
      <c r="L17" s="74" t="s">
        <v>114</v>
      </c>
      <c r="M17" s="74" t="s">
        <v>114</v>
      </c>
    </row>
    <row r="18" spans="1:13" s="13" customFormat="1" ht="24.95" customHeight="1">
      <c r="A18" s="14">
        <f t="shared" si="0"/>
        <v>10</v>
      </c>
      <c r="B18" s="67" t="s">
        <v>93</v>
      </c>
      <c r="C18" s="9" t="s">
        <v>103</v>
      </c>
      <c r="D18" s="55" t="s">
        <v>63</v>
      </c>
      <c r="E18" s="55">
        <v>100</v>
      </c>
      <c r="F18" s="55"/>
      <c r="G18" s="73" t="s">
        <v>116</v>
      </c>
      <c r="H18" s="10"/>
      <c r="I18" s="10"/>
      <c r="J18" s="55"/>
      <c r="K18" s="74" t="s">
        <v>110</v>
      </c>
      <c r="L18" s="74" t="s">
        <v>115</v>
      </c>
      <c r="M18" s="74" t="s">
        <v>115</v>
      </c>
    </row>
    <row r="19" spans="1:13" s="13" customFormat="1" ht="24.95" customHeight="1">
      <c r="A19" s="14">
        <f t="shared" si="0"/>
        <v>11</v>
      </c>
      <c r="B19" s="67" t="s">
        <v>87</v>
      </c>
      <c r="C19" s="9" t="s">
        <v>104</v>
      </c>
      <c r="D19" s="55" t="s">
        <v>64</v>
      </c>
      <c r="E19" s="55">
        <v>1</v>
      </c>
      <c r="F19" s="55"/>
      <c r="G19" s="73" t="s">
        <v>116</v>
      </c>
      <c r="H19" s="10"/>
      <c r="I19" s="10"/>
      <c r="J19" s="55"/>
      <c r="K19" s="74"/>
      <c r="L19" s="74"/>
      <c r="M19" s="74"/>
    </row>
    <row r="20" spans="1:13" s="13" customFormat="1" ht="24.95" customHeight="1">
      <c r="A20" s="14">
        <f t="shared" si="0"/>
        <v>12</v>
      </c>
      <c r="B20" s="55" t="s">
        <v>75</v>
      </c>
      <c r="C20" s="9" t="s">
        <v>105</v>
      </c>
      <c r="D20" s="55" t="s">
        <v>63</v>
      </c>
      <c r="E20" s="55">
        <v>200</v>
      </c>
      <c r="F20" s="55"/>
      <c r="G20" s="73" t="s">
        <v>116</v>
      </c>
      <c r="H20" s="10"/>
      <c r="I20" s="10"/>
      <c r="J20" s="55"/>
      <c r="K20" s="74"/>
      <c r="L20" s="74"/>
      <c r="M20" s="74"/>
    </row>
    <row r="21" spans="1:13" s="13" customFormat="1" ht="24.95" customHeight="1">
      <c r="A21" s="14">
        <f t="shared" si="0"/>
        <v>13</v>
      </c>
      <c r="B21" s="55" t="s">
        <v>76</v>
      </c>
      <c r="C21" s="9" t="s">
        <v>106</v>
      </c>
      <c r="D21" s="55" t="s">
        <v>72</v>
      </c>
      <c r="E21" s="55">
        <v>3</v>
      </c>
      <c r="F21" s="55"/>
      <c r="G21" s="73" t="s">
        <v>116</v>
      </c>
      <c r="H21" s="10"/>
      <c r="I21" s="10"/>
      <c r="J21" s="55"/>
      <c r="K21" s="56"/>
      <c r="L21" s="74"/>
      <c r="M21" s="74"/>
    </row>
    <row r="22" spans="1:13" s="13" customFormat="1" ht="24.95" customHeight="1">
      <c r="A22" s="14">
        <f t="shared" si="0"/>
        <v>14</v>
      </c>
      <c r="B22" s="106" t="s">
        <v>159</v>
      </c>
      <c r="C22" s="54" t="s">
        <v>107</v>
      </c>
      <c r="D22" s="55" t="s">
        <v>65</v>
      </c>
      <c r="E22" s="55"/>
      <c r="F22" s="55"/>
      <c r="G22" s="73" t="s">
        <v>117</v>
      </c>
      <c r="H22" s="10"/>
      <c r="I22" s="10"/>
      <c r="J22" s="55"/>
      <c r="K22" s="62">
        <v>43651</v>
      </c>
      <c r="L22" s="74"/>
      <c r="M22" s="74"/>
    </row>
    <row r="23" spans="1:13" s="13" customFormat="1" ht="24.95" customHeight="1">
      <c r="A23" s="14">
        <f t="shared" si="0"/>
        <v>15</v>
      </c>
      <c r="B23" s="106" t="s">
        <v>160</v>
      </c>
      <c r="C23" s="54" t="s">
        <v>108</v>
      </c>
      <c r="D23" s="55" t="s">
        <v>65</v>
      </c>
      <c r="E23" s="55"/>
      <c r="F23" s="55"/>
      <c r="G23" s="73" t="s">
        <v>117</v>
      </c>
      <c r="H23" s="10"/>
      <c r="I23" s="10"/>
      <c r="J23" s="55"/>
      <c r="K23" s="62">
        <v>43651</v>
      </c>
      <c r="L23" s="74"/>
      <c r="M23" s="74"/>
    </row>
    <row r="24" spans="1:13" s="13" customFormat="1" ht="24.95" customHeight="1">
      <c r="A24" s="14" t="str">
        <f t="shared" si="0"/>
        <v/>
      </c>
      <c r="B24" s="55"/>
      <c r="C24" s="9"/>
      <c r="D24" s="55"/>
      <c r="E24" s="55"/>
      <c r="F24" s="55"/>
      <c r="G24" s="10"/>
      <c r="H24" s="10"/>
      <c r="I24" s="10"/>
      <c r="J24" s="55"/>
      <c r="K24" s="63"/>
      <c r="L24" s="12"/>
    </row>
  </sheetData>
  <phoneticPr fontId="4"/>
  <hyperlinks>
    <hyperlink ref="J1" location="目次!A1" display="テーブル一覧へ" xr:uid="{7B7158E2-E376-4DD1-B074-8D1C832A1912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0E86F-0695-405E-AF1E-81ABC7044D78}">
  <sheetPr codeName="Sheet18"/>
  <dimension ref="A1:M37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B13" sqref="B13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3">
      <c r="A1" s="1" t="s">
        <v>0</v>
      </c>
      <c r="J1" s="20" t="s">
        <v>1</v>
      </c>
    </row>
    <row r="2" spans="1:13">
      <c r="B2" s="21" t="s">
        <v>2</v>
      </c>
      <c r="C2" s="22"/>
      <c r="D2" s="21" t="s">
        <v>3</v>
      </c>
      <c r="E2" s="22"/>
      <c r="F2" s="23"/>
      <c r="G2" s="24"/>
      <c r="H2" s="25" t="s">
        <v>4</v>
      </c>
      <c r="I2" s="25" t="s">
        <v>5</v>
      </c>
      <c r="J2" s="25" t="s">
        <v>6</v>
      </c>
    </row>
    <row r="3" spans="1:13" ht="18" customHeight="1">
      <c r="B3" s="26"/>
      <c r="C3" s="27"/>
      <c r="D3" s="28"/>
      <c r="E3" s="29"/>
      <c r="F3" s="30"/>
      <c r="G3" s="31"/>
      <c r="H3" s="32"/>
      <c r="I3" s="32"/>
      <c r="J3" s="32"/>
    </row>
    <row r="4" spans="1:13">
      <c r="B4" s="3" t="s">
        <v>21</v>
      </c>
      <c r="C4" s="3" t="s">
        <v>22</v>
      </c>
      <c r="D4" s="33" t="s">
        <v>7</v>
      </c>
      <c r="E4" s="34"/>
      <c r="F4" s="34"/>
      <c r="G4" s="24"/>
      <c r="H4" s="35"/>
      <c r="I4" s="32"/>
      <c r="J4" s="32"/>
    </row>
    <row r="5" spans="1:13" ht="18" customHeight="1">
      <c r="B5" s="114" t="s">
        <v>218</v>
      </c>
      <c r="C5" s="113" t="s">
        <v>219</v>
      </c>
      <c r="D5" s="37"/>
      <c r="E5" s="38"/>
      <c r="F5" s="39"/>
      <c r="G5" s="31"/>
      <c r="H5" s="40"/>
      <c r="I5" s="40"/>
      <c r="J5" s="40"/>
    </row>
    <row r="6" spans="1:13" ht="4.1500000000000004" customHeight="1"/>
    <row r="7" spans="1:13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3" ht="15" hidden="1" customHeight="1">
      <c r="A8" s="48">
        <v>1</v>
      </c>
      <c r="B8" s="49" t="s">
        <v>16</v>
      </c>
      <c r="C8" s="50" t="s">
        <v>17</v>
      </c>
      <c r="D8" s="49" t="s">
        <v>64</v>
      </c>
      <c r="E8" s="49">
        <v>11</v>
      </c>
      <c r="F8" s="49"/>
      <c r="G8" s="51" t="s">
        <v>19</v>
      </c>
      <c r="H8" s="51" t="s">
        <v>20</v>
      </c>
      <c r="I8" s="49"/>
      <c r="J8" s="52"/>
      <c r="K8" s="53"/>
      <c r="L8" s="41"/>
    </row>
    <row r="9" spans="1:13" s="13" customFormat="1" ht="24.95" customHeight="1">
      <c r="A9" s="14">
        <f>IF(B9="","",ROW()-8)</f>
        <v>1</v>
      </c>
      <c r="B9" s="55" t="s">
        <v>85</v>
      </c>
      <c r="C9" s="9" t="s">
        <v>94</v>
      </c>
      <c r="D9" s="55" t="s">
        <v>64</v>
      </c>
      <c r="E9" s="55">
        <v>1</v>
      </c>
      <c r="F9" s="55"/>
      <c r="G9" s="10" t="s">
        <v>19</v>
      </c>
      <c r="H9" s="10" t="s">
        <v>71</v>
      </c>
      <c r="I9" s="10"/>
      <c r="J9" s="55"/>
      <c r="K9" s="74" t="s">
        <v>86</v>
      </c>
      <c r="L9" s="74" t="s">
        <v>86</v>
      </c>
      <c r="M9" s="74" t="s">
        <v>86</v>
      </c>
    </row>
    <row r="10" spans="1:13" s="13" customFormat="1" ht="24.95" customHeight="1">
      <c r="A10" s="14">
        <f>IF(B10="","",ROW()-8)</f>
        <v>2</v>
      </c>
      <c r="B10" s="55" t="s">
        <v>73</v>
      </c>
      <c r="C10" s="9" t="s">
        <v>95</v>
      </c>
      <c r="D10" s="55" t="s">
        <v>64</v>
      </c>
      <c r="E10" s="55">
        <v>6</v>
      </c>
      <c r="F10" s="55"/>
      <c r="G10" s="10" t="s">
        <v>19</v>
      </c>
      <c r="H10" s="10" t="s">
        <v>71</v>
      </c>
      <c r="I10" s="10"/>
      <c r="J10" s="55"/>
      <c r="K10" s="75">
        <v>201907</v>
      </c>
      <c r="L10" s="75">
        <v>201907</v>
      </c>
      <c r="M10" s="75">
        <v>201907</v>
      </c>
    </row>
    <row r="11" spans="1:13" s="13" customFormat="1" ht="24.95" customHeight="1">
      <c r="A11" s="14">
        <f t="shared" ref="A11:A12" si="0">IF(B11="","",ROW()-8)</f>
        <v>3</v>
      </c>
      <c r="B11" s="70" t="s">
        <v>88</v>
      </c>
      <c r="C11" s="9" t="s">
        <v>96</v>
      </c>
      <c r="D11" s="55" t="s">
        <v>63</v>
      </c>
      <c r="E11" s="55">
        <v>2</v>
      </c>
      <c r="F11" s="55"/>
      <c r="G11" s="10" t="s">
        <v>19</v>
      </c>
      <c r="H11" s="10" t="s">
        <v>71</v>
      </c>
      <c r="I11" s="10"/>
      <c r="J11" s="55"/>
      <c r="K11" s="76">
        <v>1</v>
      </c>
      <c r="L11" s="76">
        <v>1</v>
      </c>
      <c r="M11" s="76">
        <v>1</v>
      </c>
    </row>
    <row r="12" spans="1:13" s="13" customFormat="1" ht="24.95" customHeight="1">
      <c r="A12" s="14">
        <f t="shared" si="0"/>
        <v>4</v>
      </c>
      <c r="B12" s="67" t="s">
        <v>89</v>
      </c>
      <c r="C12" s="9" t="s">
        <v>98</v>
      </c>
      <c r="D12" s="55" t="s">
        <v>63</v>
      </c>
      <c r="E12" s="55">
        <v>3</v>
      </c>
      <c r="F12" s="55"/>
      <c r="G12" s="10" t="s">
        <v>19</v>
      </c>
      <c r="H12" s="10" t="s">
        <v>71</v>
      </c>
      <c r="I12" s="10"/>
      <c r="J12" s="55"/>
      <c r="K12" s="75">
        <v>0</v>
      </c>
      <c r="L12" s="75">
        <v>1</v>
      </c>
      <c r="M12" s="75">
        <v>2</v>
      </c>
    </row>
    <row r="13" spans="1:13" s="13" customFormat="1" ht="24.95" customHeight="1">
      <c r="A13" s="14">
        <f t="shared" ref="A11:A37" si="1">IF(B13="","",ROW()-8)</f>
        <v>5</v>
      </c>
      <c r="B13" s="70" t="s">
        <v>220</v>
      </c>
      <c r="C13" s="115" t="s">
        <v>222</v>
      </c>
      <c r="D13" s="55" t="s">
        <v>64</v>
      </c>
      <c r="E13" s="55">
        <v>1</v>
      </c>
      <c r="F13" s="55"/>
      <c r="G13" s="73" t="s">
        <v>221</v>
      </c>
      <c r="H13" s="10"/>
      <c r="I13" s="10"/>
      <c r="J13" s="55"/>
      <c r="K13" s="63"/>
      <c r="L13" s="12"/>
    </row>
    <row r="14" spans="1:13" s="13" customFormat="1" ht="24.95" customHeight="1">
      <c r="A14" s="14">
        <f t="shared" si="1"/>
        <v>6</v>
      </c>
      <c r="B14" s="106" t="s">
        <v>159</v>
      </c>
      <c r="C14" s="54" t="s">
        <v>107</v>
      </c>
      <c r="D14" s="55" t="s">
        <v>65</v>
      </c>
      <c r="E14" s="55"/>
      <c r="F14" s="55"/>
      <c r="G14" s="73" t="s">
        <v>117</v>
      </c>
      <c r="H14" s="10"/>
      <c r="I14" s="10"/>
      <c r="J14" s="55"/>
      <c r="K14" s="62">
        <v>43651</v>
      </c>
      <c r="L14" s="74"/>
      <c r="M14" s="74"/>
    </row>
    <row r="15" spans="1:13" s="13" customFormat="1" ht="24.95" customHeight="1">
      <c r="A15" s="14">
        <f t="shared" si="1"/>
        <v>7</v>
      </c>
      <c r="B15" s="106" t="s">
        <v>160</v>
      </c>
      <c r="C15" s="54" t="s">
        <v>108</v>
      </c>
      <c r="D15" s="55" t="s">
        <v>65</v>
      </c>
      <c r="E15" s="55"/>
      <c r="F15" s="55"/>
      <c r="G15" s="73" t="s">
        <v>117</v>
      </c>
      <c r="H15" s="10"/>
      <c r="I15" s="10"/>
      <c r="J15" s="55"/>
      <c r="K15" s="62">
        <v>43651</v>
      </c>
      <c r="L15" s="74"/>
      <c r="M15" s="74"/>
    </row>
    <row r="16" spans="1:13" s="13" customFormat="1" ht="24.95" customHeight="1">
      <c r="A16" s="14" t="str">
        <f t="shared" si="1"/>
        <v/>
      </c>
      <c r="B16" s="55"/>
      <c r="C16" s="9"/>
      <c r="D16" s="55"/>
      <c r="E16" s="55"/>
      <c r="F16" s="55"/>
      <c r="G16" s="10"/>
      <c r="H16" s="10"/>
      <c r="I16" s="10"/>
      <c r="J16" s="55"/>
      <c r="K16" s="63"/>
      <c r="L16" s="12"/>
    </row>
    <row r="17" spans="1:12" s="13" customFormat="1" ht="24.95" customHeight="1">
      <c r="A17" s="14" t="str">
        <f t="shared" si="1"/>
        <v/>
      </c>
      <c r="B17" s="55"/>
      <c r="C17" s="9"/>
      <c r="D17" s="55"/>
      <c r="E17" s="55"/>
      <c r="F17" s="55"/>
      <c r="G17" s="10"/>
      <c r="H17" s="10"/>
      <c r="I17" s="10"/>
      <c r="J17" s="55"/>
      <c r="K17" s="63"/>
      <c r="L17" s="12"/>
    </row>
    <row r="18" spans="1:12" s="13" customFormat="1" ht="24.95" customHeight="1">
      <c r="A18" s="14" t="str">
        <f t="shared" si="1"/>
        <v/>
      </c>
      <c r="B18" s="54"/>
      <c r="C18" s="54"/>
      <c r="D18" s="55"/>
      <c r="E18" s="55"/>
      <c r="F18" s="55"/>
      <c r="G18" s="10"/>
      <c r="H18" s="10"/>
      <c r="I18" s="10"/>
      <c r="J18" s="55"/>
      <c r="K18" s="63"/>
      <c r="L18" s="12"/>
    </row>
    <row r="19" spans="1:12" s="13" customFormat="1" ht="24.95" customHeight="1">
      <c r="A19" s="14" t="str">
        <f t="shared" si="1"/>
        <v/>
      </c>
      <c r="B19" s="54"/>
      <c r="C19" s="54"/>
      <c r="D19" s="55"/>
      <c r="E19" s="55"/>
      <c r="F19" s="55"/>
      <c r="G19" s="10"/>
      <c r="H19" s="10"/>
      <c r="I19" s="10"/>
      <c r="J19" s="55"/>
      <c r="K19" s="63"/>
      <c r="L19" s="12"/>
    </row>
    <row r="20" spans="1:12" s="13" customFormat="1" ht="24.95" customHeight="1">
      <c r="A20" s="14" t="str">
        <f t="shared" si="1"/>
        <v/>
      </c>
      <c r="B20" s="55"/>
      <c r="C20" s="9"/>
      <c r="D20" s="55"/>
      <c r="E20" s="55"/>
      <c r="F20" s="55"/>
      <c r="G20" s="10"/>
      <c r="H20" s="10"/>
      <c r="I20" s="10"/>
      <c r="J20" s="55"/>
      <c r="K20" s="63"/>
      <c r="L20" s="12"/>
    </row>
    <row r="21" spans="1:12" s="13" customFormat="1" ht="24.95" customHeight="1">
      <c r="A21" s="14" t="str">
        <f t="shared" si="1"/>
        <v/>
      </c>
      <c r="B21" s="55"/>
      <c r="C21" s="9"/>
      <c r="D21" s="55"/>
      <c r="E21" s="55"/>
      <c r="F21" s="55"/>
      <c r="G21" s="10"/>
      <c r="H21" s="10"/>
      <c r="I21" s="55"/>
      <c r="J21" s="55"/>
      <c r="K21" s="63"/>
      <c r="L21" s="12"/>
    </row>
    <row r="22" spans="1:12" s="13" customFormat="1" ht="24.95" customHeight="1">
      <c r="A22" s="14" t="str">
        <f t="shared" si="1"/>
        <v/>
      </c>
      <c r="B22" s="55"/>
      <c r="C22" s="9"/>
      <c r="D22" s="55"/>
      <c r="E22" s="55"/>
      <c r="F22" s="55"/>
      <c r="G22" s="10"/>
      <c r="H22" s="10"/>
      <c r="I22" s="55"/>
      <c r="J22" s="55"/>
      <c r="K22" s="63"/>
      <c r="L22" s="12"/>
    </row>
    <row r="23" spans="1:12" s="13" customFormat="1" ht="24.95" customHeight="1">
      <c r="A23" s="14" t="str">
        <f t="shared" si="1"/>
        <v/>
      </c>
      <c r="B23" s="55"/>
      <c r="C23" s="9"/>
      <c r="D23" s="55"/>
      <c r="E23" s="55"/>
      <c r="F23" s="55"/>
      <c r="G23" s="10"/>
      <c r="H23" s="10"/>
      <c r="I23" s="55"/>
      <c r="J23" s="55"/>
      <c r="K23" s="63"/>
      <c r="L23" s="12"/>
    </row>
    <row r="24" spans="1:12" s="13" customFormat="1" ht="24.95" customHeight="1">
      <c r="A24" s="14" t="str">
        <f t="shared" si="1"/>
        <v/>
      </c>
      <c r="B24" s="55"/>
      <c r="C24" s="9"/>
      <c r="D24" s="55"/>
      <c r="E24" s="55"/>
      <c r="F24" s="55"/>
      <c r="G24" s="10"/>
      <c r="H24" s="10"/>
      <c r="I24" s="55"/>
      <c r="J24" s="55"/>
      <c r="K24" s="63"/>
      <c r="L24" s="12"/>
    </row>
    <row r="25" spans="1:12" ht="24.95" customHeight="1">
      <c r="A25" s="42" t="str">
        <f t="shared" si="1"/>
        <v/>
      </c>
      <c r="B25" s="43"/>
      <c r="C25" s="44"/>
      <c r="D25" s="43"/>
      <c r="E25" s="43"/>
      <c r="F25" s="43"/>
      <c r="G25" s="45"/>
      <c r="H25" s="45"/>
      <c r="I25" s="43"/>
      <c r="J25" s="43"/>
      <c r="K25" s="41"/>
      <c r="L25" s="41"/>
    </row>
    <row r="26" spans="1:12" ht="24.95" customHeight="1">
      <c r="A26" s="42" t="str">
        <f t="shared" si="1"/>
        <v/>
      </c>
      <c r="B26" s="43"/>
      <c r="C26" s="44"/>
      <c r="D26" s="43"/>
      <c r="E26" s="43"/>
      <c r="F26" s="43"/>
      <c r="G26" s="45"/>
      <c r="H26" s="45"/>
      <c r="I26" s="43"/>
      <c r="J26" s="43"/>
      <c r="K26" s="41"/>
      <c r="L26" s="41"/>
    </row>
    <row r="27" spans="1:12" ht="24.95" customHeight="1">
      <c r="A27" s="42" t="str">
        <f t="shared" si="1"/>
        <v/>
      </c>
      <c r="B27" s="43"/>
      <c r="C27" s="44"/>
      <c r="D27" s="43"/>
      <c r="E27" s="43"/>
      <c r="F27" s="43"/>
      <c r="G27" s="45"/>
      <c r="H27" s="45"/>
      <c r="I27" s="43"/>
      <c r="J27" s="43"/>
      <c r="K27" s="41"/>
      <c r="L27" s="41"/>
    </row>
    <row r="28" spans="1:12" ht="24.95" customHeight="1">
      <c r="A28" s="42" t="str">
        <f t="shared" si="1"/>
        <v/>
      </c>
      <c r="B28" s="46"/>
      <c r="C28" s="44"/>
      <c r="D28" s="46"/>
      <c r="E28" s="46"/>
      <c r="F28" s="43"/>
      <c r="G28" s="45"/>
      <c r="H28" s="45"/>
      <c r="I28" s="43"/>
      <c r="J28" s="47"/>
      <c r="K28" s="41"/>
      <c r="L28" s="41"/>
    </row>
    <row r="29" spans="1:12" ht="24.95" customHeight="1">
      <c r="A29" s="42" t="str">
        <f t="shared" si="1"/>
        <v/>
      </c>
      <c r="B29" s="46"/>
      <c r="C29" s="44"/>
      <c r="D29" s="46"/>
      <c r="E29" s="46"/>
      <c r="F29" s="43"/>
      <c r="G29" s="45"/>
      <c r="H29" s="45"/>
      <c r="I29" s="43"/>
      <c r="J29" s="47"/>
      <c r="K29" s="41"/>
      <c r="L29" s="41"/>
    </row>
    <row r="30" spans="1:12" ht="24.95" customHeight="1">
      <c r="A30" s="42" t="str">
        <f t="shared" si="1"/>
        <v/>
      </c>
      <c r="B30" s="46"/>
      <c r="C30" s="44"/>
      <c r="D30" s="46"/>
      <c r="E30" s="46"/>
      <c r="F30" s="43"/>
      <c r="G30" s="45"/>
      <c r="H30" s="45"/>
      <c r="I30" s="43"/>
      <c r="J30" s="47"/>
      <c r="K30" s="41"/>
      <c r="L30" s="41"/>
    </row>
    <row r="31" spans="1:12" ht="24.95" customHeight="1">
      <c r="A31" s="42" t="str">
        <f t="shared" si="1"/>
        <v/>
      </c>
      <c r="B31" s="46"/>
      <c r="C31" s="44"/>
      <c r="D31" s="46"/>
      <c r="E31" s="46"/>
      <c r="F31" s="43"/>
      <c r="G31" s="45"/>
      <c r="H31" s="45"/>
      <c r="I31" s="43"/>
      <c r="J31" s="47"/>
      <c r="K31" s="41"/>
      <c r="L31" s="41"/>
    </row>
    <row r="32" spans="1:12" ht="24.95" customHeight="1">
      <c r="A32" s="42" t="str">
        <f t="shared" si="1"/>
        <v/>
      </c>
      <c r="B32" s="43"/>
      <c r="C32" s="44"/>
      <c r="D32" s="43"/>
      <c r="E32" s="43"/>
      <c r="F32" s="43"/>
      <c r="G32" s="45"/>
      <c r="H32" s="45"/>
      <c r="I32" s="43"/>
      <c r="J32" s="47"/>
      <c r="K32" s="41"/>
      <c r="L32" s="41"/>
    </row>
    <row r="33" spans="1:12" ht="24.95" customHeight="1">
      <c r="A33" s="42" t="str">
        <f t="shared" si="1"/>
        <v/>
      </c>
      <c r="B33" s="43"/>
      <c r="C33" s="44"/>
      <c r="D33" s="43"/>
      <c r="E33" s="43"/>
      <c r="F33" s="43"/>
      <c r="G33" s="45"/>
      <c r="H33" s="45"/>
      <c r="I33" s="43"/>
      <c r="J33" s="47"/>
      <c r="K33" s="41"/>
      <c r="L33" s="41"/>
    </row>
    <row r="34" spans="1:12" ht="24.95" customHeight="1">
      <c r="A34" s="42" t="str">
        <f t="shared" si="1"/>
        <v/>
      </c>
      <c r="B34" s="43"/>
      <c r="C34" s="44"/>
      <c r="D34" s="43"/>
      <c r="E34" s="43"/>
      <c r="F34" s="43"/>
      <c r="G34" s="45"/>
      <c r="H34" s="45"/>
      <c r="I34" s="43"/>
      <c r="J34" s="47"/>
      <c r="K34" s="41"/>
      <c r="L34" s="41"/>
    </row>
    <row r="35" spans="1:12" ht="24.95" customHeight="1">
      <c r="A35" s="42" t="str">
        <f t="shared" si="1"/>
        <v/>
      </c>
      <c r="B35" s="43"/>
      <c r="C35" s="44"/>
      <c r="D35" s="43"/>
      <c r="E35" s="43"/>
      <c r="F35" s="43"/>
      <c r="G35" s="45"/>
      <c r="H35" s="45"/>
      <c r="I35" s="43"/>
      <c r="J35" s="47"/>
      <c r="K35" s="41"/>
      <c r="L35" s="41"/>
    </row>
    <row r="36" spans="1:12" ht="24.95" customHeight="1">
      <c r="A36" s="42" t="str">
        <f t="shared" si="1"/>
        <v/>
      </c>
      <c r="B36" s="43"/>
      <c r="C36" s="44"/>
      <c r="D36" s="43"/>
      <c r="E36" s="43"/>
      <c r="F36" s="43"/>
      <c r="G36" s="45"/>
      <c r="H36" s="45"/>
      <c r="I36" s="43"/>
      <c r="J36" s="47"/>
      <c r="K36" s="41"/>
      <c r="L36" s="41"/>
    </row>
    <row r="37" spans="1:12" ht="24.95" customHeight="1">
      <c r="A37" s="42" t="str">
        <f t="shared" si="1"/>
        <v/>
      </c>
      <c r="B37" s="43"/>
      <c r="C37" s="44"/>
      <c r="D37" s="43"/>
      <c r="E37" s="43"/>
      <c r="F37" s="43"/>
      <c r="G37" s="45"/>
      <c r="H37" s="45"/>
      <c r="I37" s="43"/>
      <c r="J37" s="47"/>
      <c r="K37" s="41"/>
      <c r="L37" s="41"/>
    </row>
  </sheetData>
  <phoneticPr fontId="4"/>
  <hyperlinks>
    <hyperlink ref="J1" location="目次!A1" display="テーブル一覧へ" xr:uid="{F4FF3846-9C5D-4F84-A81C-48E7E9C93BF4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0D271-98D3-4DAA-993B-62E27DE187D8}">
  <sheetPr codeName="Sheet17"/>
  <dimension ref="A1:L37"/>
  <sheetViews>
    <sheetView tabSelected="1" view="pageBreakPreview" zoomScaleNormal="100" zoomScaleSheetLayoutView="100" workbookViewId="0">
      <pane ySplit="7" topLeftCell="A8" activePane="bottomLeft" state="frozen"/>
      <selection activeCell="O18" sqref="O18"/>
      <selection pane="bottomLeft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20" t="s">
        <v>1</v>
      </c>
    </row>
    <row r="2" spans="1:12">
      <c r="B2" s="21" t="s">
        <v>2</v>
      </c>
      <c r="C2" s="22"/>
      <c r="D2" s="21" t="s">
        <v>3</v>
      </c>
      <c r="E2" s="22"/>
      <c r="F2" s="23"/>
      <c r="G2" s="24"/>
      <c r="H2" s="25" t="s">
        <v>4</v>
      </c>
      <c r="I2" s="25" t="s">
        <v>5</v>
      </c>
      <c r="J2" s="25" t="s">
        <v>6</v>
      </c>
    </row>
    <row r="3" spans="1:12" ht="18" customHeight="1">
      <c r="B3" s="26"/>
      <c r="C3" s="27"/>
      <c r="D3" s="28"/>
      <c r="E3" s="29"/>
      <c r="F3" s="30"/>
      <c r="G3" s="31"/>
      <c r="H3" s="32"/>
      <c r="I3" s="32"/>
      <c r="J3" s="32"/>
    </row>
    <row r="4" spans="1:12">
      <c r="B4" s="3" t="s">
        <v>21</v>
      </c>
      <c r="C4" s="3" t="s">
        <v>22</v>
      </c>
      <c r="D4" s="33" t="s">
        <v>7</v>
      </c>
      <c r="E4" s="34"/>
      <c r="F4" s="34"/>
      <c r="G4" s="24"/>
      <c r="H4" s="35"/>
      <c r="I4" s="32"/>
      <c r="J4" s="32"/>
    </row>
    <row r="5" spans="1:12" ht="18" customHeight="1">
      <c r="B5" s="36" t="s">
        <v>77</v>
      </c>
      <c r="C5" s="36" t="s">
        <v>213</v>
      </c>
      <c r="D5" s="37"/>
      <c r="E5" s="38"/>
      <c r="F5" s="39"/>
      <c r="G5" s="31"/>
      <c r="H5" s="40"/>
      <c r="I5" s="40"/>
      <c r="J5" s="40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2" ht="15" hidden="1" customHeight="1">
      <c r="A8" s="48">
        <v>1</v>
      </c>
      <c r="B8" s="49" t="s">
        <v>16</v>
      </c>
      <c r="C8" s="50" t="s">
        <v>17</v>
      </c>
      <c r="D8" s="49" t="s">
        <v>64</v>
      </c>
      <c r="E8" s="49">
        <v>11</v>
      </c>
      <c r="F8" s="49"/>
      <c r="G8" s="51" t="s">
        <v>19</v>
      </c>
      <c r="H8" s="51" t="s">
        <v>20</v>
      </c>
      <c r="I8" s="49"/>
      <c r="J8" s="52"/>
      <c r="K8" s="53"/>
      <c r="L8" s="41"/>
    </row>
    <row r="9" spans="1:12" s="13" customFormat="1" ht="24.95" customHeight="1">
      <c r="A9" s="14">
        <f>IF(B9="","",ROW()-8)</f>
        <v>1</v>
      </c>
      <c r="B9" s="66" t="s">
        <v>78</v>
      </c>
      <c r="C9" s="9" t="s">
        <v>214</v>
      </c>
      <c r="D9" s="55" t="s">
        <v>64</v>
      </c>
      <c r="E9" s="55">
        <v>3</v>
      </c>
      <c r="F9" s="55"/>
      <c r="G9" s="10" t="s">
        <v>19</v>
      </c>
      <c r="H9" s="10" t="s">
        <v>71</v>
      </c>
      <c r="I9" s="10"/>
      <c r="J9" s="55"/>
      <c r="K9" s="68" t="s">
        <v>82</v>
      </c>
      <c r="L9" s="12"/>
    </row>
    <row r="10" spans="1:12" s="13" customFormat="1" ht="24.95" customHeight="1">
      <c r="A10" s="14">
        <f>IF(B10="","",ROW()-8)</f>
        <v>2</v>
      </c>
      <c r="B10" s="66" t="s">
        <v>79</v>
      </c>
      <c r="C10" s="9" t="s">
        <v>215</v>
      </c>
      <c r="D10" s="55" t="s">
        <v>63</v>
      </c>
      <c r="E10" s="55">
        <v>20</v>
      </c>
      <c r="F10" s="55"/>
      <c r="G10" s="10" t="s">
        <v>19</v>
      </c>
      <c r="H10" s="10"/>
      <c r="I10" s="10"/>
      <c r="J10" s="55"/>
      <c r="K10" s="65" t="s">
        <v>59</v>
      </c>
      <c r="L10" s="12"/>
    </row>
    <row r="11" spans="1:12" s="13" customFormat="1" ht="24.95" customHeight="1">
      <c r="A11" s="14">
        <f t="shared" ref="A11:A37" si="0">IF(B11="","",ROW()-8)</f>
        <v>3</v>
      </c>
      <c r="B11" s="66" t="s">
        <v>80</v>
      </c>
      <c r="C11" s="9" t="s">
        <v>216</v>
      </c>
      <c r="D11" s="55" t="s">
        <v>64</v>
      </c>
      <c r="E11" s="55">
        <v>1</v>
      </c>
      <c r="F11" s="55"/>
      <c r="G11" s="10" t="s">
        <v>19</v>
      </c>
      <c r="H11" s="10" t="s">
        <v>71</v>
      </c>
      <c r="I11" s="10"/>
      <c r="J11" s="55"/>
      <c r="K11" s="64">
        <v>1</v>
      </c>
      <c r="L11" s="12"/>
    </row>
    <row r="12" spans="1:12" s="13" customFormat="1" ht="24.95" customHeight="1">
      <c r="A12" s="14">
        <f t="shared" si="0"/>
        <v>4</v>
      </c>
      <c r="B12" s="66" t="s">
        <v>81</v>
      </c>
      <c r="C12" s="9" t="s">
        <v>217</v>
      </c>
      <c r="D12" s="55" t="s">
        <v>63</v>
      </c>
      <c r="E12" s="55">
        <v>20</v>
      </c>
      <c r="F12" s="55"/>
      <c r="G12" s="10" t="s">
        <v>19</v>
      </c>
      <c r="H12" s="10"/>
      <c r="I12" s="10"/>
      <c r="J12" s="55"/>
      <c r="K12" s="69" t="s">
        <v>83</v>
      </c>
      <c r="L12" s="12"/>
    </row>
    <row r="13" spans="1:12" s="13" customFormat="1" ht="24.95" customHeight="1">
      <c r="A13" s="14" t="str">
        <f t="shared" si="0"/>
        <v/>
      </c>
      <c r="B13" s="66"/>
      <c r="C13" s="9"/>
      <c r="D13" s="55"/>
      <c r="E13" s="55"/>
      <c r="F13" s="55"/>
      <c r="G13" s="10"/>
      <c r="H13" s="10"/>
      <c r="I13" s="10"/>
      <c r="J13" s="55"/>
      <c r="K13" s="63"/>
      <c r="L13" s="12"/>
    </row>
    <row r="14" spans="1:12" s="13" customFormat="1" ht="24.95" customHeight="1">
      <c r="A14" s="14" t="str">
        <f t="shared" si="0"/>
        <v/>
      </c>
      <c r="B14" s="67"/>
      <c r="C14" s="9"/>
      <c r="D14" s="55"/>
      <c r="E14" s="55"/>
      <c r="F14" s="55"/>
      <c r="G14" s="10"/>
      <c r="H14" s="10"/>
      <c r="I14" s="10"/>
      <c r="J14" s="55"/>
      <c r="K14" s="63"/>
      <c r="L14" s="12"/>
    </row>
    <row r="15" spans="1:12" s="13" customFormat="1" ht="24.95" customHeight="1">
      <c r="A15" s="14" t="str">
        <f t="shared" si="0"/>
        <v/>
      </c>
      <c r="B15" s="55"/>
      <c r="C15" s="9"/>
      <c r="D15" s="55"/>
      <c r="E15" s="55"/>
      <c r="F15" s="55"/>
      <c r="G15" s="10"/>
      <c r="H15" s="10"/>
      <c r="I15" s="10"/>
      <c r="J15" s="55"/>
      <c r="K15" s="63"/>
      <c r="L15" s="12"/>
    </row>
    <row r="16" spans="1:12" s="13" customFormat="1" ht="24.95" customHeight="1">
      <c r="A16" s="14" t="str">
        <f t="shared" si="0"/>
        <v/>
      </c>
      <c r="B16" s="55"/>
      <c r="C16" s="9"/>
      <c r="D16" s="55"/>
      <c r="E16" s="55"/>
      <c r="F16" s="55"/>
      <c r="G16" s="10"/>
      <c r="H16" s="10"/>
      <c r="I16" s="10"/>
      <c r="J16" s="55"/>
      <c r="K16" s="63"/>
      <c r="L16" s="12"/>
    </row>
    <row r="17" spans="1:12" s="13" customFormat="1" ht="24.95" customHeight="1">
      <c r="A17" s="14" t="str">
        <f t="shared" si="0"/>
        <v/>
      </c>
      <c r="B17" s="55"/>
      <c r="C17" s="9"/>
      <c r="D17" s="55"/>
      <c r="E17" s="55"/>
      <c r="F17" s="55"/>
      <c r="G17" s="10"/>
      <c r="H17" s="10"/>
      <c r="I17" s="10"/>
      <c r="J17" s="55"/>
      <c r="K17" s="63"/>
      <c r="L17" s="12"/>
    </row>
    <row r="18" spans="1:12" s="13" customFormat="1" ht="24.95" customHeight="1">
      <c r="A18" s="14" t="str">
        <f t="shared" si="0"/>
        <v/>
      </c>
      <c r="B18" s="54"/>
      <c r="C18" s="54"/>
      <c r="D18" s="55"/>
      <c r="E18" s="55"/>
      <c r="F18" s="55"/>
      <c r="G18" s="10"/>
      <c r="H18" s="10"/>
      <c r="I18" s="10"/>
      <c r="J18" s="55"/>
      <c r="K18" s="63"/>
      <c r="L18" s="12"/>
    </row>
    <row r="19" spans="1:12" s="13" customFormat="1" ht="24.95" customHeight="1">
      <c r="A19" s="14" t="str">
        <f t="shared" si="0"/>
        <v/>
      </c>
      <c r="B19" s="54"/>
      <c r="C19" s="54"/>
      <c r="D19" s="55"/>
      <c r="E19" s="55"/>
      <c r="F19" s="55"/>
      <c r="G19" s="10"/>
      <c r="H19" s="10"/>
      <c r="I19" s="10"/>
      <c r="J19" s="55"/>
      <c r="K19" s="63"/>
      <c r="L19" s="12"/>
    </row>
    <row r="20" spans="1:12" s="13" customFormat="1" ht="24.95" customHeight="1">
      <c r="A20" s="14" t="str">
        <f t="shared" si="0"/>
        <v/>
      </c>
      <c r="B20" s="55"/>
      <c r="C20" s="9"/>
      <c r="D20" s="55"/>
      <c r="E20" s="55"/>
      <c r="F20" s="55"/>
      <c r="G20" s="10"/>
      <c r="H20" s="10"/>
      <c r="I20" s="10"/>
      <c r="J20" s="55"/>
      <c r="K20" s="63"/>
      <c r="L20" s="12"/>
    </row>
    <row r="21" spans="1:12" s="13" customFormat="1" ht="24.95" customHeight="1">
      <c r="A21" s="14" t="str">
        <f t="shared" si="0"/>
        <v/>
      </c>
      <c r="B21" s="55"/>
      <c r="C21" s="9"/>
      <c r="D21" s="55"/>
      <c r="E21" s="55"/>
      <c r="F21" s="55"/>
      <c r="G21" s="10"/>
      <c r="H21" s="10"/>
      <c r="I21" s="55"/>
      <c r="J21" s="55"/>
      <c r="K21" s="63"/>
      <c r="L21" s="12"/>
    </row>
    <row r="22" spans="1:12" s="13" customFormat="1" ht="24.95" customHeight="1">
      <c r="A22" s="14" t="str">
        <f t="shared" si="0"/>
        <v/>
      </c>
      <c r="B22" s="55"/>
      <c r="C22" s="9"/>
      <c r="D22" s="55"/>
      <c r="E22" s="55"/>
      <c r="F22" s="55"/>
      <c r="G22" s="10"/>
      <c r="H22" s="10"/>
      <c r="I22" s="55"/>
      <c r="J22" s="55"/>
      <c r="K22" s="63"/>
      <c r="L22" s="12"/>
    </row>
    <row r="23" spans="1:12" s="13" customFormat="1" ht="24.95" customHeight="1">
      <c r="A23" s="14" t="str">
        <f t="shared" si="0"/>
        <v/>
      </c>
      <c r="B23" s="55"/>
      <c r="C23" s="9"/>
      <c r="D23" s="55"/>
      <c r="E23" s="55"/>
      <c r="F23" s="55"/>
      <c r="G23" s="10"/>
      <c r="H23" s="10"/>
      <c r="I23" s="55"/>
      <c r="J23" s="55"/>
      <c r="K23" s="63"/>
      <c r="L23" s="12"/>
    </row>
    <row r="24" spans="1:12" s="13" customFormat="1" ht="24.95" customHeight="1">
      <c r="A24" s="14" t="str">
        <f t="shared" si="0"/>
        <v/>
      </c>
      <c r="B24" s="55"/>
      <c r="C24" s="9"/>
      <c r="D24" s="55"/>
      <c r="E24" s="55"/>
      <c r="F24" s="55"/>
      <c r="G24" s="10"/>
      <c r="H24" s="10"/>
      <c r="I24" s="55"/>
      <c r="J24" s="55"/>
      <c r="K24" s="63"/>
      <c r="L24" s="12"/>
    </row>
    <row r="25" spans="1:12" ht="24.95" customHeight="1">
      <c r="A25" s="42" t="str">
        <f t="shared" si="0"/>
        <v/>
      </c>
      <c r="B25" s="43"/>
      <c r="C25" s="44"/>
      <c r="D25" s="43"/>
      <c r="E25" s="43"/>
      <c r="F25" s="43"/>
      <c r="G25" s="45"/>
      <c r="H25" s="45"/>
      <c r="I25" s="43"/>
      <c r="J25" s="43"/>
      <c r="K25" s="41"/>
      <c r="L25" s="41"/>
    </row>
    <row r="26" spans="1:12" ht="24.95" customHeight="1">
      <c r="A26" s="42" t="str">
        <f t="shared" si="0"/>
        <v/>
      </c>
      <c r="B26" s="43"/>
      <c r="C26" s="44"/>
      <c r="D26" s="43"/>
      <c r="E26" s="43"/>
      <c r="F26" s="43"/>
      <c r="G26" s="45"/>
      <c r="H26" s="45"/>
      <c r="I26" s="43"/>
      <c r="J26" s="43"/>
      <c r="K26" s="41"/>
      <c r="L26" s="41"/>
    </row>
    <row r="27" spans="1:12" ht="24.95" customHeight="1">
      <c r="A27" s="42" t="str">
        <f t="shared" si="0"/>
        <v/>
      </c>
      <c r="B27" s="43"/>
      <c r="C27" s="44"/>
      <c r="D27" s="43"/>
      <c r="E27" s="43"/>
      <c r="F27" s="43"/>
      <c r="G27" s="45"/>
      <c r="H27" s="45"/>
      <c r="I27" s="43"/>
      <c r="J27" s="43"/>
      <c r="K27" s="41"/>
      <c r="L27" s="41"/>
    </row>
    <row r="28" spans="1:12" ht="24.95" customHeight="1">
      <c r="A28" s="42" t="str">
        <f t="shared" si="0"/>
        <v/>
      </c>
      <c r="B28" s="46"/>
      <c r="C28" s="44"/>
      <c r="D28" s="46"/>
      <c r="E28" s="46"/>
      <c r="F28" s="43"/>
      <c r="G28" s="45"/>
      <c r="H28" s="45"/>
      <c r="I28" s="43"/>
      <c r="J28" s="47"/>
      <c r="K28" s="41"/>
      <c r="L28" s="41"/>
    </row>
    <row r="29" spans="1:12" ht="24.95" customHeight="1">
      <c r="A29" s="42" t="str">
        <f t="shared" si="0"/>
        <v/>
      </c>
      <c r="B29" s="46"/>
      <c r="C29" s="44"/>
      <c r="D29" s="46"/>
      <c r="E29" s="46"/>
      <c r="F29" s="43"/>
      <c r="G29" s="45"/>
      <c r="H29" s="45"/>
      <c r="I29" s="43"/>
      <c r="J29" s="47"/>
      <c r="K29" s="41"/>
      <c r="L29" s="41"/>
    </row>
    <row r="30" spans="1:12" ht="24.95" customHeight="1">
      <c r="A30" s="42" t="str">
        <f t="shared" si="0"/>
        <v/>
      </c>
      <c r="B30" s="46"/>
      <c r="C30" s="44"/>
      <c r="D30" s="46"/>
      <c r="E30" s="46"/>
      <c r="F30" s="43"/>
      <c r="G30" s="45"/>
      <c r="H30" s="45"/>
      <c r="I30" s="43"/>
      <c r="J30" s="47"/>
      <c r="K30" s="41"/>
      <c r="L30" s="41"/>
    </row>
    <row r="31" spans="1:12" ht="24.95" customHeight="1">
      <c r="A31" s="42" t="str">
        <f t="shared" si="0"/>
        <v/>
      </c>
      <c r="B31" s="46"/>
      <c r="C31" s="44"/>
      <c r="D31" s="46"/>
      <c r="E31" s="46"/>
      <c r="F31" s="43"/>
      <c r="G31" s="45"/>
      <c r="H31" s="45"/>
      <c r="I31" s="43"/>
      <c r="J31" s="47"/>
      <c r="K31" s="41"/>
      <c r="L31" s="41"/>
    </row>
    <row r="32" spans="1:12" ht="24.95" customHeight="1">
      <c r="A32" s="42" t="str">
        <f t="shared" si="0"/>
        <v/>
      </c>
      <c r="B32" s="43"/>
      <c r="C32" s="44"/>
      <c r="D32" s="43"/>
      <c r="E32" s="43"/>
      <c r="F32" s="43"/>
      <c r="G32" s="45"/>
      <c r="H32" s="45"/>
      <c r="I32" s="43"/>
      <c r="J32" s="47"/>
      <c r="K32" s="41"/>
      <c r="L32" s="41"/>
    </row>
    <row r="33" spans="1:12" ht="24.95" customHeight="1">
      <c r="A33" s="42" t="str">
        <f t="shared" si="0"/>
        <v/>
      </c>
      <c r="B33" s="43"/>
      <c r="C33" s="44"/>
      <c r="D33" s="43"/>
      <c r="E33" s="43"/>
      <c r="F33" s="43"/>
      <c r="G33" s="45"/>
      <c r="H33" s="45"/>
      <c r="I33" s="43"/>
      <c r="J33" s="47"/>
      <c r="K33" s="41"/>
      <c r="L33" s="41"/>
    </row>
    <row r="34" spans="1:12" ht="24.95" customHeight="1">
      <c r="A34" s="42" t="str">
        <f t="shared" si="0"/>
        <v/>
      </c>
      <c r="B34" s="43"/>
      <c r="C34" s="44"/>
      <c r="D34" s="43"/>
      <c r="E34" s="43"/>
      <c r="F34" s="43"/>
      <c r="G34" s="45"/>
      <c r="H34" s="45"/>
      <c r="I34" s="43"/>
      <c r="J34" s="47"/>
      <c r="K34" s="41"/>
      <c r="L34" s="41"/>
    </row>
    <row r="35" spans="1:12" ht="24.95" customHeight="1">
      <c r="A35" s="42" t="str">
        <f t="shared" si="0"/>
        <v/>
      </c>
      <c r="B35" s="43"/>
      <c r="C35" s="44"/>
      <c r="D35" s="43"/>
      <c r="E35" s="43"/>
      <c r="F35" s="43"/>
      <c r="G35" s="45"/>
      <c r="H35" s="45"/>
      <c r="I35" s="43"/>
      <c r="J35" s="47"/>
      <c r="K35" s="41"/>
      <c r="L35" s="41"/>
    </row>
    <row r="36" spans="1:12" ht="24.95" customHeight="1">
      <c r="A36" s="42" t="str">
        <f t="shared" si="0"/>
        <v/>
      </c>
      <c r="B36" s="43"/>
      <c r="C36" s="44"/>
      <c r="D36" s="43"/>
      <c r="E36" s="43"/>
      <c r="F36" s="43"/>
      <c r="G36" s="45"/>
      <c r="H36" s="45"/>
      <c r="I36" s="43"/>
      <c r="J36" s="47"/>
      <c r="K36" s="41"/>
      <c r="L36" s="41"/>
    </row>
    <row r="37" spans="1:12" ht="24.95" customHeight="1">
      <c r="A37" s="42" t="str">
        <f t="shared" si="0"/>
        <v/>
      </c>
      <c r="B37" s="43"/>
      <c r="C37" s="44"/>
      <c r="D37" s="43"/>
      <c r="E37" s="43"/>
      <c r="F37" s="43"/>
      <c r="G37" s="45"/>
      <c r="H37" s="45"/>
      <c r="I37" s="43"/>
      <c r="J37" s="47"/>
      <c r="K37" s="41"/>
      <c r="L37" s="41"/>
    </row>
  </sheetData>
  <phoneticPr fontId="4"/>
  <hyperlinks>
    <hyperlink ref="J1" location="目次!A1" display="テーブル一覧へ" xr:uid="{7B990211-B98F-44A3-8D73-14FB6E64ED50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A126E-22EE-425F-AD3B-AE553D31027F}">
  <dimension ref="B4:F20"/>
  <sheetViews>
    <sheetView workbookViewId="0">
      <pane ySplit="5" topLeftCell="A6" activePane="bottomLeft" state="frozen"/>
      <selection pane="bottomLeft" activeCell="H24" sqref="H24"/>
    </sheetView>
  </sheetViews>
  <sheetFormatPr defaultRowHeight="18.75"/>
  <cols>
    <col min="2" max="2" width="3.75" bestFit="1" customWidth="1"/>
  </cols>
  <sheetData>
    <row r="4" spans="2:6" s="107" customFormat="1" ht="13.5">
      <c r="B4" s="108" t="s">
        <v>31</v>
      </c>
      <c r="C4" s="7" t="s">
        <v>162</v>
      </c>
      <c r="D4" s="7" t="s">
        <v>163</v>
      </c>
      <c r="E4" s="7" t="s">
        <v>164</v>
      </c>
      <c r="F4" s="7" t="s">
        <v>165</v>
      </c>
    </row>
    <row r="5" spans="2:6" s="107" customFormat="1" ht="13.5">
      <c r="B5" s="109"/>
      <c r="C5" s="7" t="s">
        <v>166</v>
      </c>
      <c r="D5" s="7" t="s">
        <v>167</v>
      </c>
      <c r="E5" s="7" t="s">
        <v>164</v>
      </c>
      <c r="F5" s="7" t="s">
        <v>168</v>
      </c>
    </row>
    <row r="6" spans="2:6">
      <c r="B6" s="14">
        <f>IF(C6="","",ROW()-5)</f>
        <v>1</v>
      </c>
      <c r="C6" s="72" t="s">
        <v>169</v>
      </c>
      <c r="D6" s="110" t="s">
        <v>170</v>
      </c>
      <c r="E6" s="72">
        <v>1</v>
      </c>
      <c r="F6" s="110" t="s">
        <v>171</v>
      </c>
    </row>
    <row r="7" spans="2:6">
      <c r="B7" s="14">
        <f t="shared" ref="B7:B20" si="0">IF(C7="","",ROW()-5)</f>
        <v>2</v>
      </c>
      <c r="C7" s="72" t="s">
        <v>169</v>
      </c>
      <c r="D7" s="110" t="s">
        <v>170</v>
      </c>
      <c r="E7" s="72">
        <v>2</v>
      </c>
      <c r="F7" s="110" t="s">
        <v>172</v>
      </c>
    </row>
    <row r="8" spans="2:6">
      <c r="B8" s="14" t="str">
        <f t="shared" si="0"/>
        <v/>
      </c>
      <c r="C8" s="71"/>
      <c r="D8" s="71"/>
      <c r="E8" s="71"/>
      <c r="F8" s="71"/>
    </row>
    <row r="9" spans="2:6">
      <c r="B9" s="14" t="str">
        <f t="shared" si="0"/>
        <v/>
      </c>
      <c r="C9" s="71"/>
      <c r="D9" s="71"/>
      <c r="E9" s="71"/>
      <c r="F9" s="71"/>
    </row>
    <row r="10" spans="2:6">
      <c r="B10" s="14" t="str">
        <f t="shared" si="0"/>
        <v/>
      </c>
      <c r="C10" s="71"/>
      <c r="D10" s="71"/>
      <c r="E10" s="71"/>
      <c r="F10" s="71"/>
    </row>
    <row r="11" spans="2:6">
      <c r="B11" s="14" t="str">
        <f t="shared" si="0"/>
        <v/>
      </c>
      <c r="C11" s="71"/>
      <c r="D11" s="71"/>
      <c r="E11" s="71"/>
      <c r="F11" s="71"/>
    </row>
    <row r="12" spans="2:6">
      <c r="B12" s="14" t="str">
        <f t="shared" si="0"/>
        <v/>
      </c>
      <c r="C12" s="71"/>
      <c r="D12" s="71"/>
      <c r="E12" s="71"/>
      <c r="F12" s="71"/>
    </row>
    <row r="13" spans="2:6">
      <c r="B13" s="14" t="str">
        <f t="shared" si="0"/>
        <v/>
      </c>
      <c r="C13" s="71"/>
      <c r="D13" s="71"/>
      <c r="E13" s="71"/>
      <c r="F13" s="71"/>
    </row>
    <row r="14" spans="2:6">
      <c r="B14" s="14" t="str">
        <f t="shared" si="0"/>
        <v/>
      </c>
      <c r="C14" s="71"/>
      <c r="D14" s="71"/>
      <c r="E14" s="71"/>
      <c r="F14" s="71"/>
    </row>
    <row r="15" spans="2:6">
      <c r="B15" s="14" t="str">
        <f t="shared" si="0"/>
        <v/>
      </c>
      <c r="C15" s="71"/>
      <c r="D15" s="71"/>
      <c r="E15" s="71"/>
      <c r="F15" s="71"/>
    </row>
    <row r="16" spans="2:6">
      <c r="B16" s="14" t="str">
        <f t="shared" si="0"/>
        <v/>
      </c>
      <c r="C16" s="71"/>
      <c r="D16" s="71"/>
      <c r="E16" s="71"/>
      <c r="F16" s="71"/>
    </row>
    <row r="17" spans="2:6">
      <c r="B17" s="14" t="str">
        <f t="shared" si="0"/>
        <v/>
      </c>
      <c r="C17" s="71"/>
      <c r="D17" s="71"/>
      <c r="E17" s="71"/>
      <c r="F17" s="71"/>
    </row>
    <row r="18" spans="2:6">
      <c r="B18" s="14" t="str">
        <f t="shared" si="0"/>
        <v/>
      </c>
      <c r="C18" s="71"/>
      <c r="D18" s="71"/>
      <c r="E18" s="71"/>
      <c r="F18" s="71"/>
    </row>
    <row r="19" spans="2:6">
      <c r="B19" s="14" t="str">
        <f t="shared" si="0"/>
        <v/>
      </c>
      <c r="C19" s="71"/>
      <c r="D19" s="71"/>
      <c r="E19" s="71"/>
      <c r="F19" s="71"/>
    </row>
    <row r="20" spans="2:6">
      <c r="B20" s="14" t="str">
        <f t="shared" si="0"/>
        <v/>
      </c>
      <c r="C20" s="71"/>
      <c r="D20" s="71"/>
      <c r="E20" s="71"/>
      <c r="F20" s="71"/>
    </row>
  </sheetData>
  <mergeCells count="1">
    <mergeCell ref="B4:B5"/>
  </mergeCells>
  <phoneticPr fontId="5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B2:E29"/>
  <sheetViews>
    <sheetView workbookViewId="0">
      <pane ySplit="3" topLeftCell="A4" activePane="bottomLeft" state="frozen"/>
      <selection pane="bottomLeft" activeCell="C22" sqref="C22"/>
    </sheetView>
  </sheetViews>
  <sheetFormatPr defaultRowHeight="18.75"/>
  <cols>
    <col min="2" max="2" width="4.5" bestFit="1" customWidth="1"/>
    <col min="3" max="3" width="12.875" style="18" customWidth="1"/>
    <col min="4" max="5" width="32.25" customWidth="1"/>
  </cols>
  <sheetData>
    <row r="2" spans="2:5">
      <c r="B2" t="s">
        <v>84</v>
      </c>
    </row>
    <row r="3" spans="2:5">
      <c r="B3" s="5" t="s">
        <v>31</v>
      </c>
      <c r="C3" s="5" t="s">
        <v>28</v>
      </c>
      <c r="D3" s="5" t="s">
        <v>29</v>
      </c>
      <c r="E3" s="5" t="s">
        <v>30</v>
      </c>
    </row>
    <row r="4" spans="2:5">
      <c r="B4" s="15">
        <f>IF(C4="","",ROW()-3)</f>
        <v>1</v>
      </c>
      <c r="C4" s="17" t="s">
        <v>25</v>
      </c>
      <c r="D4" s="16" t="s">
        <v>26</v>
      </c>
      <c r="E4" s="16" t="s">
        <v>27</v>
      </c>
    </row>
    <row r="5" spans="2:5">
      <c r="B5" s="15">
        <f t="shared" ref="B5:B29" si="0">IF(C5="","",ROW()-3)</f>
        <v>2</v>
      </c>
      <c r="C5" s="19" t="s">
        <v>32</v>
      </c>
      <c r="D5" s="16" t="s">
        <v>33</v>
      </c>
      <c r="E5" s="16" t="s">
        <v>34</v>
      </c>
    </row>
    <row r="6" spans="2:5" ht="24">
      <c r="B6" s="15">
        <f t="shared" si="0"/>
        <v>3</v>
      </c>
      <c r="C6" s="17" t="s">
        <v>35</v>
      </c>
      <c r="D6" s="16" t="s">
        <v>36</v>
      </c>
      <c r="E6" s="16" t="s">
        <v>37</v>
      </c>
    </row>
    <row r="7" spans="2:5" ht="24">
      <c r="B7" s="15">
        <f t="shared" si="0"/>
        <v>4</v>
      </c>
      <c r="C7" s="17" t="s">
        <v>38</v>
      </c>
      <c r="D7" s="17" t="s">
        <v>39</v>
      </c>
      <c r="E7" s="17" t="s">
        <v>40</v>
      </c>
    </row>
    <row r="8" spans="2:5" ht="24">
      <c r="B8" s="15">
        <f t="shared" si="0"/>
        <v>5</v>
      </c>
      <c r="C8" s="19" t="s">
        <v>41</v>
      </c>
      <c r="D8" s="17" t="s">
        <v>39</v>
      </c>
      <c r="E8" s="17" t="s">
        <v>40</v>
      </c>
    </row>
    <row r="9" spans="2:5">
      <c r="B9" s="15">
        <f t="shared" si="0"/>
        <v>6</v>
      </c>
      <c r="C9" s="17" t="s">
        <v>42</v>
      </c>
      <c r="D9" s="17" t="s">
        <v>43</v>
      </c>
      <c r="E9" s="17" t="s">
        <v>44</v>
      </c>
    </row>
    <row r="10" spans="2:5" ht="24">
      <c r="B10" s="15">
        <f t="shared" si="0"/>
        <v>7</v>
      </c>
      <c r="C10" s="19" t="s">
        <v>45</v>
      </c>
      <c r="D10" s="17" t="s">
        <v>46</v>
      </c>
      <c r="E10" s="17"/>
    </row>
    <row r="11" spans="2:5" ht="24">
      <c r="B11" s="15">
        <f t="shared" si="0"/>
        <v>8</v>
      </c>
      <c r="C11" s="19" t="s">
        <v>47</v>
      </c>
      <c r="D11" s="17" t="s">
        <v>48</v>
      </c>
      <c r="E11" s="17"/>
    </row>
    <row r="12" spans="2:5">
      <c r="B12" s="15">
        <f t="shared" si="0"/>
        <v>9</v>
      </c>
      <c r="C12" s="17" t="s">
        <v>49</v>
      </c>
      <c r="D12" s="17" t="s">
        <v>50</v>
      </c>
      <c r="E12" s="17"/>
    </row>
    <row r="13" spans="2:5" ht="24">
      <c r="B13" s="15">
        <f t="shared" si="0"/>
        <v>10</v>
      </c>
      <c r="C13" s="19" t="s">
        <v>53</v>
      </c>
      <c r="D13" s="17" t="s">
        <v>51</v>
      </c>
      <c r="E13" s="17"/>
    </row>
    <row r="14" spans="2:5" ht="24">
      <c r="B14" s="15">
        <f t="shared" si="0"/>
        <v>11</v>
      </c>
      <c r="C14" s="17" t="s">
        <v>54</v>
      </c>
      <c r="D14" s="17" t="s">
        <v>52</v>
      </c>
      <c r="E14" s="17"/>
    </row>
    <row r="15" spans="2:5">
      <c r="B15" s="15">
        <f t="shared" si="0"/>
        <v>12</v>
      </c>
      <c r="C15" s="17" t="s">
        <v>55</v>
      </c>
      <c r="D15" s="17" t="s">
        <v>56</v>
      </c>
      <c r="E15" s="17"/>
    </row>
    <row r="16" spans="2:5">
      <c r="B16" s="15">
        <f t="shared" si="0"/>
        <v>13</v>
      </c>
      <c r="C16" s="17" t="s">
        <v>57</v>
      </c>
      <c r="D16" s="17" t="s">
        <v>58</v>
      </c>
      <c r="E16" s="17"/>
    </row>
    <row r="17" spans="2:5">
      <c r="B17" s="15" t="str">
        <f t="shared" si="0"/>
        <v/>
      </c>
      <c r="C17" s="17"/>
      <c r="D17" s="17"/>
      <c r="E17" s="17"/>
    </row>
    <row r="18" spans="2:5">
      <c r="B18" s="15" t="str">
        <f t="shared" si="0"/>
        <v/>
      </c>
      <c r="C18" s="17"/>
      <c r="D18" s="17"/>
      <c r="E18" s="17"/>
    </row>
    <row r="19" spans="2:5">
      <c r="B19" s="15" t="str">
        <f t="shared" si="0"/>
        <v/>
      </c>
      <c r="C19" s="17"/>
      <c r="D19" s="17"/>
      <c r="E19" s="17"/>
    </row>
    <row r="20" spans="2:5">
      <c r="B20" s="15" t="str">
        <f t="shared" si="0"/>
        <v/>
      </c>
      <c r="C20" s="17"/>
      <c r="D20" s="17"/>
      <c r="E20" s="17"/>
    </row>
    <row r="21" spans="2:5">
      <c r="B21" s="15" t="str">
        <f t="shared" si="0"/>
        <v/>
      </c>
      <c r="C21" s="17"/>
      <c r="D21" s="17"/>
      <c r="E21" s="17"/>
    </row>
    <row r="22" spans="2:5">
      <c r="B22" s="15" t="str">
        <f t="shared" si="0"/>
        <v/>
      </c>
      <c r="C22" s="17"/>
      <c r="D22" s="17"/>
      <c r="E22" s="17"/>
    </row>
    <row r="23" spans="2:5">
      <c r="B23" s="15" t="str">
        <f t="shared" si="0"/>
        <v/>
      </c>
      <c r="C23" s="17"/>
      <c r="D23" s="17"/>
      <c r="E23" s="17"/>
    </row>
    <row r="24" spans="2:5">
      <c r="B24" s="15" t="str">
        <f t="shared" si="0"/>
        <v/>
      </c>
      <c r="C24" s="17"/>
      <c r="D24" s="17"/>
      <c r="E24" s="17"/>
    </row>
    <row r="25" spans="2:5">
      <c r="B25" s="15" t="str">
        <f t="shared" si="0"/>
        <v/>
      </c>
      <c r="C25" s="17"/>
      <c r="D25" s="17"/>
      <c r="E25" s="17"/>
    </row>
    <row r="26" spans="2:5">
      <c r="B26" s="15" t="str">
        <f t="shared" si="0"/>
        <v/>
      </c>
      <c r="C26" s="17"/>
      <c r="D26" s="17"/>
      <c r="E26" s="17"/>
    </row>
    <row r="27" spans="2:5">
      <c r="B27" s="15" t="str">
        <f t="shared" si="0"/>
        <v/>
      </c>
      <c r="C27" s="17"/>
      <c r="D27" s="17"/>
      <c r="E27" s="17"/>
    </row>
    <row r="28" spans="2:5">
      <c r="B28" s="15" t="str">
        <f t="shared" si="0"/>
        <v/>
      </c>
      <c r="C28" s="17"/>
      <c r="D28" s="17"/>
      <c r="E28" s="17"/>
    </row>
    <row r="29" spans="2:5">
      <c r="B29" s="15" t="str">
        <f t="shared" si="0"/>
        <v/>
      </c>
      <c r="C29" s="17"/>
      <c r="D29" s="17"/>
      <c r="E29" s="17"/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F1BB-14DD-43D5-A3F1-83252E694BD0}">
  <sheetPr filterMode="1"/>
  <dimension ref="C9:N27"/>
  <sheetViews>
    <sheetView workbookViewId="0">
      <selection activeCell="I33" sqref="I33"/>
    </sheetView>
  </sheetViews>
  <sheetFormatPr defaultRowHeight="18.75"/>
  <cols>
    <col min="3" max="3" width="15.25" bestFit="1" customWidth="1"/>
    <col min="4" max="4" width="10.5" bestFit="1" customWidth="1"/>
    <col min="5" max="5" width="8.5" bestFit="1" customWidth="1"/>
    <col min="9" max="9" width="24" bestFit="1" customWidth="1"/>
    <col min="10" max="10" width="9.125" customWidth="1"/>
  </cols>
  <sheetData>
    <row r="9" spans="3:14">
      <c r="C9" t="s">
        <v>192</v>
      </c>
      <c r="D9" t="s">
        <v>173</v>
      </c>
      <c r="E9">
        <v>1272</v>
      </c>
      <c r="F9">
        <v>0</v>
      </c>
      <c r="G9" t="str">
        <f>IF(E9=F9,"OK","NG")</f>
        <v>NG</v>
      </c>
      <c r="I9" s="112" t="str">
        <f xml:space="preserve"> "DROP TABLE " &amp;D9 &amp; ";"</f>
        <v>DROP TABLE UN2M002;</v>
      </c>
      <c r="J9" t="str">
        <f xml:space="preserve"> "DROP TABLE A02_" &amp;D9 &amp; ";"</f>
        <v>DROP TABLE A02_UN2M002;</v>
      </c>
      <c r="N9" t="str">
        <f>"CREATE TABLE " &amp;D9 &amp; "_BAK AS SELECT * FROM " &amp;C9&amp;";"</f>
        <v>CREATE TABLE UN2M002_BAK AS SELECT * FROM A01_UN2M002;</v>
      </c>
    </row>
    <row r="10" spans="3:14" hidden="1">
      <c r="C10" t="s">
        <v>193</v>
      </c>
      <c r="D10" t="s">
        <v>174</v>
      </c>
      <c r="E10">
        <v>99583</v>
      </c>
      <c r="F10">
        <v>99583</v>
      </c>
      <c r="G10" t="str">
        <f t="shared" ref="G10:G27" si="0">IF(E10=F10,"OK","NG")</f>
        <v>OK</v>
      </c>
    </row>
    <row r="11" spans="3:14">
      <c r="C11" t="s">
        <v>194</v>
      </c>
      <c r="D11" s="111" t="s">
        <v>175</v>
      </c>
      <c r="E11">
        <v>37569</v>
      </c>
      <c r="F11">
        <v>0</v>
      </c>
      <c r="G11" t="str">
        <f t="shared" si="0"/>
        <v>NG</v>
      </c>
      <c r="I11" s="112" t="str">
        <f t="shared" ref="I11:I14" si="1" xml:space="preserve"> "DROP TABLE " &amp;D11 &amp; ";"</f>
        <v>DROP TABLE UN2M005;</v>
      </c>
      <c r="J11" t="str">
        <f t="shared" ref="J11:J14" si="2" xml:space="preserve"> "DROP TABLE A02_" &amp;D11 &amp; ";"</f>
        <v>DROP TABLE A02_UN2M005;</v>
      </c>
      <c r="N11" t="str">
        <f t="shared" ref="N11:N14" si="3">"CREATE TABLE " &amp;D11 &amp; "_BAK AS SELECT * FROM " &amp;C11&amp;";"</f>
        <v>CREATE TABLE UN2M005_BAK AS SELECT * FROM A01_UN2M005;</v>
      </c>
    </row>
    <row r="12" spans="3:14">
      <c r="C12" t="s">
        <v>195</v>
      </c>
      <c r="D12" s="111" t="s">
        <v>176</v>
      </c>
      <c r="E12">
        <v>261974</v>
      </c>
      <c r="F12">
        <v>0</v>
      </c>
      <c r="G12" t="str">
        <f t="shared" si="0"/>
        <v>NG</v>
      </c>
      <c r="I12" s="112" t="str">
        <f t="shared" si="1"/>
        <v>DROP TABLE UN2M025;</v>
      </c>
      <c r="J12" t="str">
        <f t="shared" si="2"/>
        <v>DROP TABLE A02_UN2M025;</v>
      </c>
      <c r="N12" t="str">
        <f t="shared" si="3"/>
        <v>CREATE TABLE UN2M025_BAK AS SELECT * FROM A01_UN2M025;</v>
      </c>
    </row>
    <row r="13" spans="3:14">
      <c r="C13" t="s">
        <v>196</v>
      </c>
      <c r="D13" s="111" t="s">
        <v>177</v>
      </c>
      <c r="E13">
        <v>1125759</v>
      </c>
      <c r="F13">
        <v>0</v>
      </c>
      <c r="G13" t="str">
        <f t="shared" si="0"/>
        <v>NG</v>
      </c>
      <c r="I13" s="112" t="str">
        <f t="shared" si="1"/>
        <v>DROP TABLE UN2M026;</v>
      </c>
      <c r="J13" t="str">
        <f t="shared" si="2"/>
        <v>DROP TABLE A02_UN2M026;</v>
      </c>
      <c r="N13" t="str">
        <f t="shared" si="3"/>
        <v>CREATE TABLE UN2M026_BAK AS SELECT * FROM A01_UN2M026;</v>
      </c>
    </row>
    <row r="14" spans="3:14">
      <c r="C14" t="s">
        <v>197</v>
      </c>
      <c r="D14" s="111" t="s">
        <v>178</v>
      </c>
      <c r="E14">
        <v>15891</v>
      </c>
      <c r="F14">
        <v>0</v>
      </c>
      <c r="G14" t="str">
        <f t="shared" si="0"/>
        <v>NG</v>
      </c>
      <c r="I14" s="112" t="str">
        <f t="shared" si="1"/>
        <v>DROP TABLE UN2M027;</v>
      </c>
      <c r="J14" t="str">
        <f t="shared" si="2"/>
        <v>DROP TABLE A02_UN2M027;</v>
      </c>
      <c r="N14" t="str">
        <f t="shared" si="3"/>
        <v>CREATE TABLE UN2M027_BAK AS SELECT * FROM A01_UN2M027;</v>
      </c>
    </row>
    <row r="15" spans="3:14" hidden="1">
      <c r="C15" t="s">
        <v>198</v>
      </c>
      <c r="D15" t="s">
        <v>179</v>
      </c>
      <c r="E15">
        <v>192</v>
      </c>
      <c r="F15">
        <v>192</v>
      </c>
      <c r="G15" t="str">
        <f t="shared" si="0"/>
        <v>OK</v>
      </c>
    </row>
    <row r="16" spans="3:14" hidden="1">
      <c r="C16" t="s">
        <v>199</v>
      </c>
      <c r="D16" t="s">
        <v>180</v>
      </c>
      <c r="E16">
        <v>78</v>
      </c>
      <c r="F16">
        <v>78</v>
      </c>
      <c r="G16" t="str">
        <f t="shared" si="0"/>
        <v>OK</v>
      </c>
    </row>
    <row r="17" spans="3:14">
      <c r="C17" t="s">
        <v>200</v>
      </c>
      <c r="D17" t="s">
        <v>181</v>
      </c>
      <c r="E17">
        <v>49</v>
      </c>
      <c r="F17">
        <v>0</v>
      </c>
      <c r="G17" t="str">
        <f t="shared" si="0"/>
        <v>NG</v>
      </c>
      <c r="I17" s="112" t="str">
        <f xml:space="preserve"> "DROP TABLE " &amp;D17 &amp; ";"</f>
        <v>DROP TABLE UN2M033;</v>
      </c>
      <c r="J17" t="str">
        <f xml:space="preserve"> "DROP TABLE A02_" &amp;D17 &amp; ";"</f>
        <v>DROP TABLE A02_UN2M033;</v>
      </c>
      <c r="N17" t="str">
        <f>"CREATE TABLE " &amp;D17 &amp; "_BAK AS SELECT * FROM " &amp;C17&amp;";"</f>
        <v>CREATE TABLE UN2M033_BAK AS SELECT * FROM A01_UN2M033;</v>
      </c>
    </row>
    <row r="18" spans="3:14" hidden="1">
      <c r="C18" t="s">
        <v>201</v>
      </c>
      <c r="D18" t="s">
        <v>182</v>
      </c>
      <c r="E18">
        <v>3793</v>
      </c>
      <c r="F18">
        <v>3793</v>
      </c>
      <c r="G18" t="str">
        <f t="shared" si="0"/>
        <v>OK</v>
      </c>
    </row>
    <row r="19" spans="3:14" hidden="1">
      <c r="C19" t="s">
        <v>202</v>
      </c>
      <c r="D19" t="s">
        <v>183</v>
      </c>
      <c r="E19">
        <v>123823</v>
      </c>
      <c r="F19">
        <v>123823</v>
      </c>
      <c r="G19" t="str">
        <f t="shared" si="0"/>
        <v>OK</v>
      </c>
    </row>
    <row r="20" spans="3:14" hidden="1">
      <c r="C20" t="s">
        <v>203</v>
      </c>
      <c r="D20" t="s">
        <v>184</v>
      </c>
      <c r="E20">
        <v>73</v>
      </c>
      <c r="F20">
        <v>73</v>
      </c>
      <c r="G20" t="str">
        <f t="shared" si="0"/>
        <v>OK</v>
      </c>
    </row>
    <row r="21" spans="3:14" hidden="1">
      <c r="C21" t="s">
        <v>204</v>
      </c>
      <c r="D21" t="s">
        <v>185</v>
      </c>
      <c r="E21">
        <v>143</v>
      </c>
      <c r="F21">
        <v>143</v>
      </c>
      <c r="G21" t="str">
        <f t="shared" si="0"/>
        <v>OK</v>
      </c>
    </row>
    <row r="22" spans="3:14" hidden="1">
      <c r="C22" t="s">
        <v>205</v>
      </c>
      <c r="D22" t="s">
        <v>186</v>
      </c>
      <c r="E22">
        <v>782</v>
      </c>
      <c r="F22">
        <v>782</v>
      </c>
      <c r="G22" t="str">
        <f t="shared" si="0"/>
        <v>OK</v>
      </c>
    </row>
    <row r="23" spans="3:14" hidden="1">
      <c r="C23" t="s">
        <v>206</v>
      </c>
      <c r="D23" t="s">
        <v>187</v>
      </c>
      <c r="E23">
        <v>11</v>
      </c>
      <c r="F23">
        <v>11</v>
      </c>
      <c r="G23" t="str">
        <f t="shared" si="0"/>
        <v>OK</v>
      </c>
    </row>
    <row r="24" spans="3:14" hidden="1">
      <c r="C24" t="s">
        <v>207</v>
      </c>
      <c r="D24" t="s">
        <v>188</v>
      </c>
      <c r="E24">
        <v>22</v>
      </c>
      <c r="F24">
        <v>22</v>
      </c>
      <c r="G24" t="str">
        <f t="shared" si="0"/>
        <v>OK</v>
      </c>
    </row>
    <row r="25" spans="3:14" hidden="1">
      <c r="C25" t="s">
        <v>208</v>
      </c>
      <c r="D25" t="s">
        <v>189</v>
      </c>
      <c r="E25">
        <v>32</v>
      </c>
      <c r="F25">
        <v>32</v>
      </c>
      <c r="G25" t="str">
        <f t="shared" si="0"/>
        <v>OK</v>
      </c>
    </row>
    <row r="26" spans="3:14">
      <c r="C26" t="s">
        <v>209</v>
      </c>
      <c r="D26" t="s">
        <v>190</v>
      </c>
      <c r="E26">
        <v>15</v>
      </c>
      <c r="F26">
        <v>23</v>
      </c>
      <c r="G26" t="str">
        <f t="shared" si="0"/>
        <v>NG</v>
      </c>
      <c r="I26" s="112" t="str">
        <f xml:space="preserve"> "DROP TABLE " &amp;D26 &amp; ";"</f>
        <v>DROP TABLE UN2M202;</v>
      </c>
      <c r="J26" t="str">
        <f xml:space="preserve"> "DROP TABLE A02_" &amp;D26 &amp; ";"</f>
        <v>DROP TABLE A02_UN2M202;</v>
      </c>
      <c r="N26" t="str">
        <f>"CREATE TABLE " &amp;D26 &amp; "_BAK AS SELECT * FROM " &amp;C26&amp;";"</f>
        <v>CREATE TABLE UN2M202_BAK AS SELECT * FROM A01_UN2M202;</v>
      </c>
    </row>
    <row r="27" spans="3:14" hidden="1">
      <c r="C27" t="s">
        <v>210</v>
      </c>
      <c r="D27" t="s">
        <v>191</v>
      </c>
      <c r="E27">
        <v>1</v>
      </c>
      <c r="F27">
        <v>1</v>
      </c>
      <c r="G27" t="str">
        <f t="shared" si="0"/>
        <v>OK</v>
      </c>
    </row>
  </sheetData>
  <autoFilter ref="C9:G27" xr:uid="{DA99CE8C-1856-4967-AD00-55C91F7CB97C}">
    <filterColumn colId="4">
      <filters>
        <filter val="NG"/>
      </filters>
    </filterColumn>
  </autoFilter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4</vt:i4>
      </vt:variant>
    </vt:vector>
  </HeadingPairs>
  <TitlesOfParts>
    <vt:vector size="13" baseType="lpstr">
      <vt:lpstr>Pages</vt:lpstr>
      <vt:lpstr>TOOL</vt:lpstr>
      <vt:lpstr>T_用户情报</vt:lpstr>
      <vt:lpstr>T_問題情報</vt:lpstr>
      <vt:lpstr>T_用户答案情报</vt:lpstr>
      <vt:lpstr>T_区分ID情報</vt:lpstr>
      <vt:lpstr>区分データ</vt:lpstr>
      <vt:lpstr>SQL定数情報</vt:lpstr>
      <vt:lpstr>Sheet4</vt:lpstr>
      <vt:lpstr>T_区分ID情報!Print_Area</vt:lpstr>
      <vt:lpstr>T_問題情報!Print_Area</vt:lpstr>
      <vt:lpstr>T_用户情报!Print_Area</vt:lpstr>
      <vt:lpstr>T_用户答案情报!Print_Area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Zhang, Yong</cp:lastModifiedBy>
  <cp:lastPrinted>2019-07-23T05:29:21Z</cp:lastPrinted>
  <dcterms:created xsi:type="dcterms:W3CDTF">2015-06-05T18:19:34Z</dcterms:created>
  <dcterms:modified xsi:type="dcterms:W3CDTF">2019-08-14T07:34:31Z</dcterms:modified>
</cp:coreProperties>
</file>