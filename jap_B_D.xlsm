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zhangyong\毎日仕事\temp\SQL\"/>
    </mc:Choice>
  </mc:AlternateContent>
  <xr:revisionPtr revIDLastSave="0" documentId="13_ncr:1_{88B96900-0289-4A50-83B8-40AF2A6F2990}" xr6:coauthVersionLast="36" xr6:coauthVersionMax="36" xr10:uidLastSave="{00000000-0000-0000-0000-000000000000}"/>
  <bookViews>
    <workbookView xWindow="0" yWindow="0" windowWidth="22260" windowHeight="12645" tabRatio="909" xr2:uid="{00000000-000D-0000-FFFF-FFFF00000000}"/>
  </bookViews>
  <sheets>
    <sheet name="Pages" sheetId="7" r:id="rId1"/>
    <sheet name="TOOL" sheetId="3" r:id="rId2"/>
    <sheet name="T_用户情报" sheetId="2" r:id="rId3"/>
    <sheet name="T_問題情報" sheetId="4" r:id="rId4"/>
    <sheet name="T_阅读理解情报" sheetId="12" r:id="rId5"/>
    <sheet name="T_用户答案情报" sheetId="10" r:id="rId6"/>
    <sheet name="T_区分ID情報" sheetId="5" r:id="rId7"/>
    <sheet name="区分データ" sheetId="8" r:id="rId8"/>
    <sheet name="SQL定数情報" sheetId="1" r:id="rId9"/>
    <sheet name="QUESTIONG" sheetId="11" r:id="rId10"/>
    <sheet name="Sheet1" sheetId="13" r:id="rId11"/>
  </sheets>
  <definedNames>
    <definedName name="_Sort" localSheetId="6" hidden="1">#REF!</definedName>
    <definedName name="_Sort" localSheetId="3" hidden="1">#REF!</definedName>
    <definedName name="_Sort" localSheetId="2" hidden="1">#REF!</definedName>
    <definedName name="_Sort" localSheetId="5" hidden="1">#REF!</definedName>
    <definedName name="_Sort" localSheetId="4" hidden="1">#REF!</definedName>
    <definedName name="_Sort" hidden="1">#REF!</definedName>
    <definedName name="_xlnm.Print_Area" localSheetId="6">T_区分ID情報!$A$1:$J$41</definedName>
    <definedName name="_xlnm.Print_Area" localSheetId="3">T_問題情報!$A$1:$J$24</definedName>
    <definedName name="_xlnm.Print_Area" localSheetId="2">T_用户情报!$A$1:$J$24</definedName>
    <definedName name="_xlnm.Print_Area" localSheetId="5">T_用户答案情报!$A$1:$J$24</definedName>
    <definedName name="_xlnm.Print_Area" localSheetId="4">T_阅读理解情报!$A$1:$J$24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99" i="7" l="1"/>
  <c r="E101" i="7"/>
  <c r="E103" i="7"/>
  <c r="E105" i="7"/>
  <c r="L15" i="10" l="1"/>
  <c r="L14" i="10"/>
  <c r="L13" i="10"/>
  <c r="L12" i="10"/>
  <c r="L11" i="10"/>
  <c r="L10" i="10"/>
  <c r="L9" i="10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A17" i="10" l="1"/>
  <c r="A16" i="10"/>
  <c r="A15" i="10"/>
  <c r="A14" i="10"/>
  <c r="A12" i="10"/>
  <c r="A12" i="12"/>
  <c r="A11" i="12"/>
  <c r="A13" i="12" l="1"/>
  <c r="A10" i="12"/>
  <c r="A9" i="12"/>
  <c r="A24" i="12"/>
  <c r="A23" i="12"/>
  <c r="A22" i="12"/>
  <c r="A21" i="12"/>
  <c r="A20" i="12"/>
  <c r="A19" i="12"/>
  <c r="A18" i="12"/>
  <c r="A17" i="12"/>
  <c r="A16" i="12"/>
  <c r="A15" i="12"/>
  <c r="A14" i="12"/>
  <c r="A14" i="5" l="1"/>
  <c r="A13" i="5"/>
  <c r="A12" i="5"/>
  <c r="A11" i="5"/>
  <c r="A9" i="10"/>
  <c r="A11" i="4" l="1"/>
  <c r="A17" i="5" l="1"/>
  <c r="A11" i="10"/>
  <c r="A10" i="10"/>
  <c r="A24" i="10"/>
  <c r="A23" i="10"/>
  <c r="A22" i="10"/>
  <c r="A21" i="10"/>
  <c r="A20" i="10"/>
  <c r="A19" i="10"/>
  <c r="A18" i="10"/>
  <c r="A13" i="10"/>
  <c r="B20" i="8" l="1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A19" i="4" l="1"/>
  <c r="A18" i="4"/>
  <c r="A17" i="4"/>
  <c r="A16" i="4"/>
  <c r="A9" i="4" l="1"/>
  <c r="A41" i="5" l="1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6" i="5"/>
  <c r="A15" i="5"/>
  <c r="A10" i="5"/>
  <c r="A9" i="5"/>
  <c r="A24" i="4"/>
  <c r="A23" i="4"/>
  <c r="A22" i="4"/>
  <c r="A21" i="4"/>
  <c r="A20" i="4"/>
  <c r="A15" i="4"/>
  <c r="A14" i="4"/>
  <c r="A13" i="4"/>
  <c r="A12" i="4"/>
  <c r="A10" i="4"/>
  <c r="B5" i="1" l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4" i="1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</calcChain>
</file>

<file path=xl/sharedStrings.xml><?xml version="1.0" encoding="utf-8"?>
<sst xmlns="http://schemas.openxmlformats.org/spreadsheetml/2006/main" count="601" uniqueCount="277">
  <si>
    <t>エンティティ定義書</t>
    <phoneticPr fontId="5"/>
  </si>
  <si>
    <t>テーブル一覧へ</t>
    <rPh sb="4" eb="6">
      <t>イチラン</t>
    </rPh>
    <phoneticPr fontId="5"/>
  </si>
  <si>
    <t>システム名</t>
  </si>
  <si>
    <t>サブシステム名</t>
  </si>
  <si>
    <t>作成者</t>
  </si>
  <si>
    <t>承認者</t>
  </si>
  <si>
    <t>作成日</t>
  </si>
  <si>
    <t>スキーマ</t>
  </si>
  <si>
    <t>No.</t>
  </si>
  <si>
    <t>型</t>
    <phoneticPr fontId="5"/>
  </si>
  <si>
    <t>桁</t>
    <phoneticPr fontId="5"/>
  </si>
  <si>
    <t>小数</t>
    <phoneticPr fontId="5"/>
  </si>
  <si>
    <t>Null可否</t>
    <rPh sb="4" eb="6">
      <t>カヒ</t>
    </rPh>
    <phoneticPr fontId="5"/>
  </si>
  <si>
    <t>主キー</t>
    <phoneticPr fontId="5"/>
  </si>
  <si>
    <t>初期値</t>
    <phoneticPr fontId="5"/>
  </si>
  <si>
    <t>コメント</t>
    <phoneticPr fontId="5"/>
  </si>
  <si>
    <t>住所コード</t>
    <rPh sb="0" eb="2">
      <t>ジュウショ</t>
    </rPh>
    <phoneticPr fontId="5"/>
  </si>
  <si>
    <t>ANKJYUSYOCD</t>
    <phoneticPr fontId="5"/>
  </si>
  <si>
    <t>CHAR</t>
  </si>
  <si>
    <t>N</t>
    <phoneticPr fontId="5"/>
  </si>
  <si>
    <t>●</t>
    <phoneticPr fontId="5"/>
  </si>
  <si>
    <t>テーブル漢字名</t>
    <rPh sb="4" eb="6">
      <t>カンジ</t>
    </rPh>
    <rPh sb="6" eb="7">
      <t>メイ</t>
    </rPh>
    <phoneticPr fontId="5"/>
  </si>
  <si>
    <t>テーブル英字名</t>
    <rPh sb="4" eb="6">
      <t>エイジ</t>
    </rPh>
    <rPh sb="6" eb="7">
      <t>メイ</t>
    </rPh>
    <phoneticPr fontId="5"/>
  </si>
  <si>
    <t>カラム漢字名</t>
    <rPh sb="3" eb="5">
      <t>カンジ</t>
    </rPh>
    <phoneticPr fontId="5"/>
  </si>
  <si>
    <t>カラム英字名</t>
    <rPh sb="3" eb="5">
      <t>エイジ</t>
    </rPh>
    <phoneticPr fontId="5"/>
  </si>
  <si>
    <t>smallint</t>
    <phoneticPr fontId="4"/>
  </si>
  <si>
    <t>存储整数，小范围</t>
    <phoneticPr fontId="4"/>
  </si>
  <si>
    <t>-32768 至 +32767</t>
    <phoneticPr fontId="4"/>
  </si>
  <si>
    <t>データ類型</t>
    <rPh sb="3" eb="5">
      <t>ルイケイ</t>
    </rPh>
    <phoneticPr fontId="5"/>
  </si>
  <si>
    <t>説明</t>
    <rPh sb="0" eb="2">
      <t>セツメイ</t>
    </rPh>
    <phoneticPr fontId="5"/>
  </si>
  <si>
    <t>備考</t>
    <rPh sb="0" eb="2">
      <t>ビコウ</t>
    </rPh>
    <phoneticPr fontId="5"/>
  </si>
  <si>
    <t>NO.</t>
    <phoneticPr fontId="5"/>
  </si>
  <si>
    <t>integer</t>
    <phoneticPr fontId="4"/>
  </si>
  <si>
    <t>存储整数。使用这个类型可存储典型的整数</t>
    <phoneticPr fontId="4"/>
  </si>
  <si>
    <t>-2147483648 至 +2147483647</t>
    <phoneticPr fontId="4"/>
  </si>
  <si>
    <t>bigint</t>
    <phoneticPr fontId="4"/>
  </si>
  <si>
    <t>存储整数，大范围。</t>
    <phoneticPr fontId="4"/>
  </si>
  <si>
    <t>-9223372036854775808 至 9223372036854775807</t>
    <phoneticPr fontId="4"/>
  </si>
  <si>
    <t>decimal</t>
    <phoneticPr fontId="4"/>
  </si>
  <si>
    <t>用户指定的精度，精确</t>
    <phoneticPr fontId="4"/>
  </si>
  <si>
    <t>小数点前最多为131072个数字; 小数点后最多为16383个数字。</t>
    <phoneticPr fontId="4"/>
  </si>
  <si>
    <t>numeric</t>
    <phoneticPr fontId="4"/>
  </si>
  <si>
    <t>double</t>
    <phoneticPr fontId="4"/>
  </si>
  <si>
    <t>可变精度，不精确</t>
    <phoneticPr fontId="4"/>
  </si>
  <si>
    <t>15位数字精度</t>
    <phoneticPr fontId="4"/>
  </si>
  <si>
    <t>char(size)</t>
    <phoneticPr fontId="4"/>
  </si>
  <si>
    <t>这里size是要存储的字符数。固定长度字符串，右边的空格填充到相等大小的字符。</t>
    <phoneticPr fontId="4"/>
  </si>
  <si>
    <t>varchar(size)</t>
    <phoneticPr fontId="4"/>
  </si>
  <si>
    <t>这里size是要存储的字符数。 可变长度字符串。</t>
    <phoneticPr fontId="4"/>
  </si>
  <si>
    <t>text</t>
    <phoneticPr fontId="4"/>
  </si>
  <si>
    <t>可变长度字符串。</t>
    <phoneticPr fontId="4"/>
  </si>
  <si>
    <t>日期和时间(无时区)</t>
    <phoneticPr fontId="4"/>
  </si>
  <si>
    <t>包括日期和时间，带时区</t>
    <phoneticPr fontId="4"/>
  </si>
  <si>
    <t>date</t>
    <phoneticPr fontId="4"/>
  </si>
  <si>
    <t>日期(没有时间)</t>
    <phoneticPr fontId="4"/>
  </si>
  <si>
    <t>money</t>
    <phoneticPr fontId="4"/>
  </si>
  <si>
    <t>货币金额</t>
    <phoneticPr fontId="4"/>
  </si>
  <si>
    <t>zhangyong</t>
    <phoneticPr fontId="4"/>
  </si>
  <si>
    <t>15098762222</t>
    <phoneticPr fontId="4"/>
  </si>
  <si>
    <t>19999@163.com</t>
    <phoneticPr fontId="4"/>
  </si>
  <si>
    <t>VARCHAR</t>
    <phoneticPr fontId="4"/>
  </si>
  <si>
    <t>CHAR</t>
    <phoneticPr fontId="4"/>
  </si>
  <si>
    <t>Y</t>
    <phoneticPr fontId="5"/>
  </si>
  <si>
    <r>
      <rPr>
        <sz val="10"/>
        <color theme="1"/>
        <rFont val="SimSun"/>
        <charset val="134"/>
      </rPr>
      <t>张</t>
    </r>
    <r>
      <rPr>
        <sz val="10"/>
        <color theme="1"/>
        <rFont val="ＭＳ Ｐゴシック"/>
        <family val="3"/>
        <charset val="128"/>
      </rPr>
      <t>勇</t>
    </r>
    <phoneticPr fontId="4"/>
  </si>
  <si>
    <t>ユーザ情報</t>
    <rPh sb="3" eb="5">
      <t>ジョウホウ</t>
    </rPh>
    <phoneticPr fontId="4"/>
  </si>
  <si>
    <t>問題情報</t>
    <rPh sb="0" eb="2">
      <t>モンダイ</t>
    </rPh>
    <rPh sb="2" eb="4">
      <t>ジョウホウ</t>
    </rPh>
    <phoneticPr fontId="4"/>
  </si>
  <si>
    <t>●</t>
    <phoneticPr fontId="4"/>
  </si>
  <si>
    <t>NUMERIC</t>
    <phoneticPr fontId="4"/>
  </si>
  <si>
    <t>問題内容</t>
    <rPh sb="0" eb="2">
      <t>モンダイ</t>
    </rPh>
    <rPh sb="2" eb="4">
      <t>ナイヨウ</t>
    </rPh>
    <phoneticPr fontId="4"/>
  </si>
  <si>
    <t>解析</t>
    <rPh sb="0" eb="2">
      <t>カイセキ</t>
    </rPh>
    <phoneticPr fontId="4"/>
  </si>
  <si>
    <t>区分ID情報</t>
    <rPh sb="0" eb="2">
      <t>クブン</t>
    </rPh>
    <rPh sb="4" eb="6">
      <t>ジョウホウ</t>
    </rPh>
    <phoneticPr fontId="4"/>
  </si>
  <si>
    <t>ID</t>
    <phoneticPr fontId="4"/>
  </si>
  <si>
    <t>SQL定数情報</t>
  </si>
  <si>
    <t>N1N5区分</t>
    <rPh sb="4" eb="6">
      <t>クブン</t>
    </rPh>
    <phoneticPr fontId="4"/>
  </si>
  <si>
    <t>N1</t>
    <phoneticPr fontId="4"/>
  </si>
  <si>
    <t>正解</t>
    <rPh sb="0" eb="2">
      <t>セイカイ</t>
    </rPh>
    <phoneticPr fontId="4"/>
  </si>
  <si>
    <t>nkbn</t>
  </si>
  <si>
    <t>yearmonth</t>
  </si>
  <si>
    <t>questionno</t>
  </si>
  <si>
    <t>questioncontent</t>
  </si>
  <si>
    <t>choice1</t>
  </si>
  <si>
    <t>choice2</t>
  </si>
  <si>
    <t>choice3</t>
  </si>
  <si>
    <t>choice4</t>
  </si>
  <si>
    <t>correct</t>
  </si>
  <si>
    <t>analysis</t>
  </si>
  <si>
    <t>fraction</t>
  </si>
  <si>
    <t>createtime</t>
  </si>
  <si>
    <t>updatetime</t>
  </si>
  <si>
    <t>1. かぶると</t>
    <phoneticPr fontId="4"/>
  </si>
  <si>
    <t>２.かぶったで</t>
    <phoneticPr fontId="4"/>
  </si>
  <si>
    <t>３.かぶりに</t>
    <phoneticPr fontId="4"/>
  </si>
  <si>
    <t>４.かぶって</t>
    <phoneticPr fontId="4"/>
  </si>
  <si>
    <t>Y</t>
    <phoneticPr fontId="4"/>
  </si>
  <si>
    <t>N</t>
    <phoneticPr fontId="4"/>
  </si>
  <si>
    <t>N2</t>
  </si>
  <si>
    <t>N3</t>
  </si>
  <si>
    <t>N4</t>
  </si>
  <si>
    <t>□</t>
    <phoneticPr fontId="4"/>
  </si>
  <si>
    <t>201812</t>
    <phoneticPr fontId="4"/>
  </si>
  <si>
    <t>未回答</t>
    <phoneticPr fontId="4"/>
  </si>
  <si>
    <r>
      <t>2018</t>
    </r>
    <r>
      <rPr>
        <sz val="11"/>
        <color theme="1"/>
        <rFont val="Microsoft YaHei"/>
        <family val="2"/>
        <charset val="134"/>
      </rPr>
      <t>07</t>
    </r>
    <phoneticPr fontId="4"/>
  </si>
  <si>
    <t>回答错</t>
    <phoneticPr fontId="4"/>
  </si>
  <si>
    <t>201712</t>
    <phoneticPr fontId="4"/>
  </si>
  <si>
    <t>回答对</t>
    <phoneticPr fontId="4"/>
  </si>
  <si>
    <r>
      <t>2017</t>
    </r>
    <r>
      <rPr>
        <sz val="11"/>
        <color theme="1"/>
        <rFont val="Microsoft YaHei"/>
        <family val="2"/>
        <charset val="134"/>
      </rPr>
      <t>07</t>
    </r>
    <phoneticPr fontId="4"/>
  </si>
  <si>
    <t>GO</t>
    <phoneticPr fontId="4"/>
  </si>
  <si>
    <t>N1-201812-文字-01</t>
    <phoneticPr fontId="4"/>
  </si>
  <si>
    <t>01)　きのうのばんは ＿＿＿ 行きましたか。</t>
    <phoneticPr fontId="4"/>
  </si>
  <si>
    <t>前回对</t>
    <phoneticPr fontId="4"/>
  </si>
  <si>
    <t>02)　課長がまだこないので、あしたは ＿＿＿仕事をするか分かりません。</t>
    <phoneticPr fontId="4"/>
  </si>
  <si>
    <t>前回错</t>
    <phoneticPr fontId="4"/>
  </si>
  <si>
    <t>03)　課長がまだこないので、あしたは ＿＿＿仕事をするか分かりません。</t>
    <phoneticPr fontId="4"/>
  </si>
  <si>
    <t>01)　きのうのばんは       行きましたか。</t>
    <phoneticPr fontId="4"/>
  </si>
  <si>
    <t>×</t>
    <phoneticPr fontId="4"/>
  </si>
  <si>
    <t>提交答案</t>
    <phoneticPr fontId="4"/>
  </si>
  <si>
    <t>答案解析</t>
    <phoneticPr fontId="4"/>
  </si>
  <si>
    <t>＜上一题</t>
    <phoneticPr fontId="4"/>
  </si>
  <si>
    <t>下一题＞</t>
    <phoneticPr fontId="4"/>
  </si>
  <si>
    <t>userid</t>
  </si>
  <si>
    <t>password</t>
  </si>
  <si>
    <t>usernm</t>
  </si>
  <si>
    <t>mail</t>
  </si>
  <si>
    <t>sexid</t>
  </si>
  <si>
    <t>img</t>
  </si>
  <si>
    <t>mailcheck</t>
  </si>
  <si>
    <t>phonecheck</t>
  </si>
  <si>
    <t>ID</t>
    <phoneticPr fontId="5"/>
  </si>
  <si>
    <t>值</t>
    <phoneticPr fontId="5"/>
  </si>
  <si>
    <t>NAME</t>
    <phoneticPr fontId="5"/>
  </si>
  <si>
    <t>DATA</t>
    <phoneticPr fontId="5"/>
  </si>
  <si>
    <t>001</t>
    <phoneticPr fontId="5"/>
  </si>
  <si>
    <t>男</t>
    <phoneticPr fontId="5"/>
  </si>
  <si>
    <t>女</t>
    <phoneticPr fontId="5"/>
  </si>
  <si>
    <t>userinfo</t>
    <phoneticPr fontId="4"/>
  </si>
  <si>
    <t>questioninfo</t>
    <phoneticPr fontId="4"/>
  </si>
  <si>
    <t>codeinfo</t>
    <phoneticPr fontId="4"/>
  </si>
  <si>
    <t>code</t>
  </si>
  <si>
    <t>name</t>
  </si>
  <si>
    <t>id</t>
  </si>
  <si>
    <t>data</t>
  </si>
  <si>
    <t>用户答案情报</t>
    <phoneticPr fontId="4"/>
  </si>
  <si>
    <r>
      <rPr>
        <sz val="11"/>
        <rFont val="Microsoft YaHei"/>
        <family val="3"/>
        <charset val="134"/>
      </rPr>
      <t>useranswer</t>
    </r>
    <r>
      <rPr>
        <sz val="11"/>
        <rFont val="ＭＳ Ｐゴシック"/>
        <family val="3"/>
        <charset val="128"/>
      </rPr>
      <t>info</t>
    </r>
    <phoneticPr fontId="4"/>
  </si>
  <si>
    <t>Y</t>
    <phoneticPr fontId="4"/>
  </si>
  <si>
    <t>chooseanswer</t>
    <phoneticPr fontId="4"/>
  </si>
  <si>
    <r>
      <t>性别</t>
    </r>
    <r>
      <rPr>
        <sz val="11"/>
        <color theme="1"/>
        <rFont val="Microsoft YaHei"/>
        <family val="2"/>
        <charset val="134"/>
      </rPr>
      <t>区分</t>
    </r>
    <phoneticPr fontId="5"/>
  </si>
  <si>
    <t>002</t>
  </si>
  <si>
    <t>题型区分</t>
    <phoneticPr fontId="5"/>
  </si>
  <si>
    <t>文字</t>
    <phoneticPr fontId="5"/>
  </si>
  <si>
    <t>词汇</t>
    <phoneticPr fontId="5"/>
  </si>
  <si>
    <t>阅读</t>
    <phoneticPr fontId="5"/>
  </si>
  <si>
    <t>语法</t>
    <phoneticPr fontId="5"/>
  </si>
  <si>
    <t>听力</t>
    <phoneticPr fontId="5"/>
  </si>
  <si>
    <t>problemno</t>
    <phoneticPr fontId="4"/>
  </si>
  <si>
    <r>
      <t>problem</t>
    </r>
    <r>
      <rPr>
        <sz val="10"/>
        <rFont val="Microsoft YaHei"/>
        <family val="3"/>
        <charset val="134"/>
      </rPr>
      <t>kbn</t>
    </r>
    <phoneticPr fontId="4"/>
  </si>
  <si>
    <t>readcomment</t>
    <phoneticPr fontId="4"/>
  </si>
  <si>
    <t>　　　の言葉の読み方として最もよいものを、1・2・3・4から一つ選びなさい。</t>
    <phoneticPr fontId="4"/>
  </si>
  <si>
    <t>この広大な大地を潤すにはまだまだ不十分だった。</t>
    <phoneticPr fontId="4"/>
  </si>
  <si>
    <t>1.たがやす</t>
    <phoneticPr fontId="4"/>
  </si>
  <si>
    <t>2.ぬらす</t>
    <phoneticPr fontId="4"/>
  </si>
  <si>
    <t>3.うるおす</t>
    <phoneticPr fontId="4"/>
  </si>
  <si>
    <t>4.いやす</t>
    <phoneticPr fontId="4"/>
  </si>
  <si>
    <t>(雨水)还不足以滋润这片广阔的土地。
　　1 たがやす(耕す)：耕地
　　2 ぬらす(濡らす)：淋湿
　　3 うるおす(潤す)：湿润，滋润 例：喉を潤す。
　　4 いやす(癒す)：治愈</t>
    <phoneticPr fontId="4"/>
  </si>
  <si>
    <t>使う前に必ず熱湯で殺菌してください。</t>
    <phoneticPr fontId="4"/>
  </si>
  <si>
    <t>1.さつきん</t>
    <phoneticPr fontId="4"/>
  </si>
  <si>
    <t>2.さっきん</t>
    <phoneticPr fontId="4"/>
  </si>
  <si>
    <t>3.さつき</t>
    <phoneticPr fontId="4"/>
  </si>
  <si>
    <t>4.ざっきん</t>
    <phoneticPr fontId="4"/>
  </si>
  <si>
    <t>解析：使用之前一定要用热水杀菌。
　　ざっきん(雑菌)：杂菌
　　さっきん(殺菌)：杀菌
　　相关词汇：
　　さっこん(昨今)：最近
　　ざっこん(雑婚)：乱婚</t>
    <phoneticPr fontId="4"/>
  </si>
  <si>
    <r>
      <t>これが私に</t>
    </r>
    <r>
      <rPr>
        <b/>
        <u/>
        <sz val="11"/>
        <color rgb="FF333333"/>
        <rFont val="Microsoft YaHei"/>
        <family val="2"/>
        <charset val="134"/>
      </rPr>
      <t>託された</t>
    </r>
    <r>
      <rPr>
        <b/>
        <sz val="11"/>
        <color rgb="FF333333"/>
        <rFont val="Microsoft YaHei"/>
        <family val="2"/>
        <charset val="134"/>
      </rPr>
      <t>仕事です。</t>
    </r>
    <phoneticPr fontId="4"/>
  </si>
  <si>
    <t>1.だくされた</t>
    <phoneticPr fontId="4"/>
  </si>
  <si>
    <t>2.かこされた</t>
    <phoneticPr fontId="4"/>
  </si>
  <si>
    <t>3.どくされた</t>
    <phoneticPr fontId="4"/>
  </si>
  <si>
    <t>4.たくされた</t>
    <phoneticPr fontId="4"/>
  </si>
  <si>
    <t>解析：这是委托给我的工作。
　　かされた(貸す)：借出
　　まかされた(任す)：委托
　　くだされた(下さる)：送，给(我)
　　たくされた(託す)：委托</t>
    <phoneticPr fontId="4"/>
  </si>
  <si>
    <t>西山営業所について、このお知らせで最も伝えたいことは何か。</t>
    <phoneticPr fontId="4"/>
  </si>
  <si>
    <t>1 移転が完了し、5月31日から業務を再開している。</t>
    <phoneticPr fontId="4"/>
  </si>
  <si>
    <t>2 移転が完了したので、電話とメールは使える。</t>
    <phoneticPr fontId="4"/>
  </si>
  <si>
    <t>3 ファクス機が復旧し次第、業務を再開する。</t>
    <phoneticPr fontId="4"/>
  </si>
  <si>
    <t>4 ファクス機は不調だが、電話とメールは使える。</t>
    <phoneticPr fontId="4"/>
  </si>
  <si>
    <t>解析：问题是：关于西山销售部，这份通知最想传达什么?
　　文中提到从5月31日开始，西山销售部换到了新的办公地点开始营业。但是在搬家的过程中，传真机出了故障，导致现在(即6月1日)无法发送或接收传真。文中关键句「復旧までは下記の電話もしくはメールをご利用ください」，即在故障恢复前，请大家使用电话或邮件进行沟通。因此答案是选项4“传真机有故障，但是可以使用电话和邮件”。</t>
    <phoneticPr fontId="4"/>
  </si>
  <si>
    <t xml:space="preserve">次の(1)から(4)の文章を読んで、後の問いに対する答えとして最もよいものを、1・2・3・4 から一つ選びなさい。
</t>
    <phoneticPr fontId="4"/>
  </si>
  <si>
    <t>( 　)に入れるのに最もよいものを、1・2・3・4から一つ選びなさい。</t>
    <phoneticPr fontId="4"/>
  </si>
  <si>
    <t>この学校は教育の(  )として、職業体験活動を授業に取り入れる。</t>
    <phoneticPr fontId="4"/>
  </si>
  <si>
    <t>1.一環</t>
    <phoneticPr fontId="4"/>
  </si>
  <si>
    <t>2.一体</t>
    <phoneticPr fontId="4"/>
  </si>
  <si>
    <t>3.内部</t>
    <phoneticPr fontId="4"/>
  </si>
  <si>
    <t>4.部門</t>
    <phoneticPr fontId="4"/>
  </si>
  <si>
    <t>解析：作为教育的一环，这所学校把入职体验活动引进了课堂。
　　1 一環：一个重要部分，环节
　　2 一体：一体;一座;总的来说;到底;本来
　　3 内部：内部;里面;内幕，内情
　　4 部門：部门，部类</t>
    <phoneticPr fontId="4"/>
  </si>
  <si>
    <t>この商品は、特によく売れる時期というものはなく、毎月(　　　)100個ほど売れる。</t>
    <phoneticPr fontId="4"/>
  </si>
  <si>
    <t>1.クリアに</t>
    <phoneticPr fontId="4"/>
  </si>
  <si>
    <t>2.ストレートに</t>
    <phoneticPr fontId="4"/>
  </si>
  <si>
    <t>3.シンプルに</t>
    <phoneticPr fontId="4"/>
  </si>
  <si>
    <t>4.コンスタントに</t>
    <phoneticPr fontId="4"/>
  </si>
  <si>
    <t>次の文の(　)に入れるのに最もよいものを、1・2・3・4から一つ選びなさい。</t>
    <phoneticPr fontId="4"/>
  </si>
  <si>
    <t>今年歌手生活40周年を迎えた山川みっこは、引退の噂を否定して「応援してくれるファンがひとりでも(　)、歌い続けます。」と語った。</t>
    <phoneticPr fontId="4"/>
  </si>
  <si>
    <t>1.いた上</t>
    <phoneticPr fontId="4"/>
  </si>
  <si>
    <t>3.いながら</t>
    <phoneticPr fontId="4"/>
  </si>
  <si>
    <t>2.いる限り</t>
    <phoneticPr fontId="4"/>
  </si>
  <si>
    <t>4.いるだけあって</t>
    <phoneticPr fontId="4"/>
  </si>
  <si>
    <t>解析：今年迎来歌手生涯四十周年的山川光子否认了隐退的谣言，她说：“只要有一个歌迷在，我就会继续唱下去。”
　　1 た上で：表示在完成前项行为的基础上进行后项;表示“从......方面来看”，“在......方面“的意思。
　　2 動詞辞書型/ている/イ形容詞辞書型/ナ形容詞な/である/名詞の/である+限り:只要……，就……
　　3 ながら：这里表示转折
　　4 だけあって：「さすが～だけあって」不愧是……</t>
    <phoneticPr fontId="4"/>
  </si>
  <si>
    <t>解析：这个商品没有特别好卖的时候，每月基本固定能卖100个左右。
　　1 クリア：跨过，跳过;解围;清空，清除
　　2 ストレート：一直，直接;连续
　　3 シンプル：质朴，朴素;单纯，简单
　　4 コンスタント：常数、恒量;经常，一定的</t>
    <phoneticPr fontId="4"/>
  </si>
  <si>
    <t>CODE1</t>
    <phoneticPr fontId="5"/>
  </si>
  <si>
    <t>CODE2</t>
  </si>
  <si>
    <t>CODE3</t>
  </si>
  <si>
    <t>CODE4</t>
  </si>
  <si>
    <t>003</t>
  </si>
  <si>
    <t>phoneno</t>
    <phoneticPr fontId="5"/>
  </si>
  <si>
    <t>区分ID</t>
    <rPh sb="0" eb="2">
      <t>クブン</t>
    </rPh>
    <phoneticPr fontId="5"/>
  </si>
  <si>
    <t>区分名称</t>
    <rPh sb="0" eb="2">
      <t>クブン</t>
    </rPh>
    <phoneticPr fontId="5"/>
  </si>
  <si>
    <t>KBN</t>
    <phoneticPr fontId="5"/>
  </si>
  <si>
    <t>区分名称</t>
    <rPh sb="0" eb="2">
      <t>クブン</t>
    </rPh>
    <rPh sb="2" eb="4">
      <t>メイショウ</t>
    </rPh>
    <phoneticPr fontId="4"/>
  </si>
  <si>
    <t>コード1</t>
    <phoneticPr fontId="5"/>
  </si>
  <si>
    <t>コード2</t>
  </si>
  <si>
    <t>コード3</t>
  </si>
  <si>
    <t>コード4</t>
  </si>
  <si>
    <t>コード1</t>
    <phoneticPr fontId="4"/>
  </si>
  <si>
    <t>阅读理解情报</t>
    <phoneticPr fontId="4"/>
  </si>
  <si>
    <r>
      <rPr>
        <sz val="11"/>
        <rFont val="Microsoft YaHei"/>
        <family val="3"/>
        <charset val="134"/>
      </rPr>
      <t>yuedu</t>
    </r>
    <r>
      <rPr>
        <sz val="11"/>
        <rFont val="ＭＳ Ｐゴシック"/>
        <family val="3"/>
        <charset val="128"/>
      </rPr>
      <t>info</t>
    </r>
    <phoneticPr fontId="4"/>
  </si>
  <si>
    <t>1:文字，2:词汇
3:语法，4:阅读
5:听力</t>
    <phoneticPr fontId="4"/>
  </si>
  <si>
    <t>ユーザID</t>
    <phoneticPr fontId="4"/>
  </si>
  <si>
    <t>パスワード</t>
    <phoneticPr fontId="4"/>
  </si>
  <si>
    <t>ユーザ名</t>
    <rPh sb="3" eb="4">
      <t>メイ</t>
    </rPh>
    <phoneticPr fontId="4"/>
  </si>
  <si>
    <t>携帯番号</t>
    <rPh sb="0" eb="2">
      <t>ケイタイ</t>
    </rPh>
    <rPh sb="2" eb="4">
      <t>バンゴウ</t>
    </rPh>
    <phoneticPr fontId="4"/>
  </si>
  <si>
    <t>メール</t>
    <phoneticPr fontId="4"/>
  </si>
  <si>
    <t>性別ID</t>
    <rPh sb="0" eb="2">
      <t>セイベツ</t>
    </rPh>
    <phoneticPr fontId="4"/>
  </si>
  <si>
    <t>メール確認フラグ</t>
    <rPh sb="3" eb="5">
      <t>カクニン</t>
    </rPh>
    <phoneticPr fontId="4"/>
  </si>
  <si>
    <t>携帯確認フラグ</t>
    <rPh sb="0" eb="2">
      <t>ケイタイ</t>
    </rPh>
    <rPh sb="2" eb="4">
      <t>カクニン</t>
    </rPh>
    <phoneticPr fontId="4"/>
  </si>
  <si>
    <t>個人写真</t>
    <rPh sb="0" eb="2">
      <t>コジン</t>
    </rPh>
    <rPh sb="2" eb="4">
      <t>シャシン</t>
    </rPh>
    <phoneticPr fontId="4"/>
  </si>
  <si>
    <t>年月</t>
    <rPh sb="0" eb="2">
      <t>ネンゲツ</t>
    </rPh>
    <phoneticPr fontId="4"/>
  </si>
  <si>
    <t>問題大分類</t>
    <rPh sb="0" eb="2">
      <t>モンダイ</t>
    </rPh>
    <rPh sb="2" eb="3">
      <t>ダイ</t>
    </rPh>
    <rPh sb="3" eb="5">
      <t>ブンルイ</t>
    </rPh>
    <phoneticPr fontId="4"/>
  </si>
  <si>
    <t>問題タイトルID</t>
    <rPh sb="0" eb="2">
      <t>モンダイ</t>
    </rPh>
    <phoneticPr fontId="4"/>
  </si>
  <si>
    <t>問題タイトル</t>
    <rPh sb="0" eb="2">
      <t>モンダイ</t>
    </rPh>
    <phoneticPr fontId="5"/>
  </si>
  <si>
    <t>読解ID</t>
    <phoneticPr fontId="4"/>
  </si>
  <si>
    <t>readid</t>
    <phoneticPr fontId="4"/>
  </si>
  <si>
    <t>問題連番</t>
    <rPh sb="0" eb="2">
      <t>モンダイ</t>
    </rPh>
    <rPh sb="2" eb="4">
      <t>レンバン</t>
    </rPh>
    <phoneticPr fontId="4"/>
  </si>
  <si>
    <t>選択肢1</t>
    <rPh sb="0" eb="3">
      <t>センタクシ</t>
    </rPh>
    <phoneticPr fontId="4"/>
  </si>
  <si>
    <t>選択肢2</t>
    <rPh sb="0" eb="3">
      <t>センタクシ</t>
    </rPh>
    <phoneticPr fontId="4"/>
  </si>
  <si>
    <t>選択肢3</t>
    <rPh sb="0" eb="3">
      <t>センタクシ</t>
    </rPh>
    <phoneticPr fontId="4"/>
  </si>
  <si>
    <t>選択肢4</t>
    <rPh sb="0" eb="3">
      <t>センタクシ</t>
    </rPh>
    <phoneticPr fontId="4"/>
  </si>
  <si>
    <t>ポイント</t>
    <phoneticPr fontId="4"/>
  </si>
  <si>
    <t>更新日時</t>
    <rPh sb="0" eb="2">
      <t>コウシン</t>
    </rPh>
    <rPh sb="2" eb="4">
      <t>ニチジ</t>
    </rPh>
    <phoneticPr fontId="4"/>
  </si>
  <si>
    <t>登録日時</t>
    <rPh sb="0" eb="2">
      <t>トウロク</t>
    </rPh>
    <rPh sb="2" eb="4">
      <t>ニチジ</t>
    </rPh>
    <phoneticPr fontId="4"/>
  </si>
  <si>
    <r>
      <t>problem</t>
    </r>
    <r>
      <rPr>
        <sz val="10"/>
        <color theme="1" tint="4.9989318521683403E-2"/>
        <rFont val="Microsoft YaHei"/>
        <family val="3"/>
        <charset val="134"/>
      </rPr>
      <t>kbn</t>
    </r>
    <phoneticPr fontId="4"/>
  </si>
  <si>
    <t>読解内容</t>
    <rPh sb="2" eb="4">
      <t>ナイヨウ</t>
    </rPh>
    <phoneticPr fontId="4"/>
  </si>
  <si>
    <t>選択回答</t>
    <rPh sb="0" eb="2">
      <t>センタク</t>
    </rPh>
    <rPh sb="2" eb="4">
      <t>カイトウ</t>
    </rPh>
    <phoneticPr fontId="4"/>
  </si>
  <si>
    <t>区分ID</t>
    <rPh sb="0" eb="2">
      <t>クブン</t>
    </rPh>
    <phoneticPr fontId="4"/>
  </si>
  <si>
    <t>値</t>
    <rPh sb="0" eb="1">
      <t>チ</t>
    </rPh>
    <phoneticPr fontId="4"/>
  </si>
  <si>
    <t>手机号</t>
    <phoneticPr fontId="4"/>
  </si>
  <si>
    <t>https://www.jb51.net/article/123399.htm</t>
  </si>
  <si>
    <t>https://blog.csdn.net/qq_43479946/article/details/83243909</t>
  </si>
  <si>
    <t>https://www.jianshu.com/p/7c81e122276b</t>
  </si>
  <si>
    <t>AsyncStorage</t>
    <phoneticPr fontId="4"/>
  </si>
  <si>
    <t>https://segmentfault.com/a/1190000017054654?utm_source=tag-newest</t>
  </si>
  <si>
    <t>https://blog.csdn.net/u011272795/article/details/80887478</t>
  </si>
  <si>
    <t>https://blog.csdn.net/u011958281/article/details/78614792</t>
  </si>
  <si>
    <t>aliyun</t>
    <phoneticPr fontId="4"/>
  </si>
  <si>
    <t>折叠</t>
    <phoneticPr fontId="4"/>
  </si>
  <si>
    <t>https://wangbaiyuan.cn/open-source-rn-expandabletextreactnative-long-text-folding-component.html#prettyPhoto[gallery1]/0/</t>
    <phoneticPr fontId="4"/>
  </si>
  <si>
    <t>ExpandableText</t>
  </si>
  <si>
    <t>ログインーHTML5</t>
  </si>
  <si>
    <t>http://www.cssmoban.com/cssthemes/8751.shtml</t>
  </si>
  <si>
    <t>APPログインーHTML5</t>
  </si>
  <si>
    <t>http://www.cssmoban.com/cssthemes/5725.shtml</t>
  </si>
  <si>
    <t>后台模板</t>
  </si>
  <si>
    <t>http://demo.cssmoban.com/cssthemes4/amz_15_bdp/index.html</t>
  </si>
  <si>
    <t>GIT</t>
  </si>
  <si>
    <t>https://blog.csdn.net/web_csdn_share/article/details/79243308</t>
  </si>
  <si>
    <t>http://www.cssmoban.com/cssthemes/8337.shtml</t>
    <phoneticPr fontId="4"/>
  </si>
  <si>
    <t>DATETIME</t>
  </si>
  <si>
    <t>DATETIME</t>
    <phoneticPr fontId="4"/>
  </si>
  <si>
    <t xml:space="preserve">DATETIME [ (p) ] </t>
  </si>
  <si>
    <t>DATETIME [ (p) ]</t>
  </si>
  <si>
    <t>ALTER TABLE API_LOG ADD ANKSPLHONHANCD     CHAR(9);</t>
  </si>
  <si>
    <t>ALTER TABLE UN2M003 MODIFY KNJSTRNAMN      VARCHAR2(160);</t>
  </si>
  <si>
    <t>ALTER TABLE UN2M003 RENAME COLUMN USERNO TO USERNO_BAK;</t>
  </si>
  <si>
    <t>ALTER TABLE UN2M026 DROP (GRADEUP);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</si>
</sst>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>
    <font>
      <sz val="11"/>
      <color theme="1"/>
      <name val="Yu Gothic"/>
      <family val="2"/>
      <scheme val="minor"/>
    </font>
    <font>
      <u/>
      <sz val="11"/>
      <color theme="10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Yu Gothic"/>
      <family val="3"/>
      <charset val="128"/>
      <scheme val="minor"/>
    </font>
    <font>
      <sz val="6"/>
      <name val="游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SimSun"/>
      <charset val="134"/>
    </font>
    <font>
      <u/>
      <sz val="10"/>
      <color theme="10"/>
      <name val="ＭＳ Ｐゴシック"/>
      <family val="3"/>
      <charset val="128"/>
    </font>
    <font>
      <sz val="11"/>
      <color theme="1"/>
      <name val="Microsoft YaHei"/>
      <family val="2"/>
      <charset val="134"/>
    </font>
    <font>
      <sz val="10"/>
      <name val="Microsoft YaHei"/>
      <family val="3"/>
      <charset val="134"/>
    </font>
    <font>
      <sz val="10"/>
      <name val="ＭＳ Ｐゴシック"/>
      <family val="2"/>
      <charset val="128"/>
    </font>
    <font>
      <sz val="10"/>
      <name val="Microsoft YaHei"/>
      <family val="2"/>
      <charset val="134"/>
    </font>
    <font>
      <sz val="11"/>
      <color theme="1"/>
      <name val="メイリオ"/>
      <family val="2"/>
      <charset val="128"/>
    </font>
    <font>
      <sz val="10"/>
      <color rgb="FF0000FF"/>
      <name val="SimSun"/>
      <charset val="134"/>
    </font>
    <font>
      <sz val="10"/>
      <color rgb="FFFF0000"/>
      <name val="SimSun"/>
      <charset val="134"/>
    </font>
    <font>
      <sz val="9"/>
      <color theme="1"/>
      <name val="SimSun"/>
      <charset val="134"/>
    </font>
    <font>
      <sz val="11"/>
      <color rgb="FFFF0000"/>
      <name val="Yu Gothic"/>
      <family val="2"/>
      <scheme val="minor"/>
    </font>
    <font>
      <sz val="10"/>
      <color theme="1"/>
      <name val="Microsoft YaHei"/>
      <family val="3"/>
      <charset val="134"/>
    </font>
    <font>
      <sz val="10"/>
      <color theme="1"/>
      <name val="ＭＳ Ｐゴシック"/>
      <family val="3"/>
      <charset val="134"/>
    </font>
    <font>
      <sz val="9"/>
      <color theme="1"/>
      <name val="ＭＳ Ｐゴシック"/>
      <family val="3"/>
      <charset val="128"/>
    </font>
    <font>
      <sz val="11"/>
      <name val="ＭＳ Ｐゴシック"/>
      <family val="3"/>
      <charset val="134"/>
    </font>
    <font>
      <sz val="11"/>
      <name val="Microsoft YaHei"/>
      <family val="3"/>
      <charset val="134"/>
    </font>
    <font>
      <b/>
      <sz val="11"/>
      <name val="Microsoft YaHei"/>
      <family val="2"/>
      <charset val="134"/>
    </font>
    <font>
      <sz val="10"/>
      <color rgb="FFFF0000"/>
      <name val="ＭＳ Ｐゴシック"/>
      <family val="3"/>
      <charset val="128"/>
    </font>
    <font>
      <sz val="10"/>
      <color rgb="FFFF0000"/>
      <name val="Microsoft YaHei"/>
      <family val="2"/>
      <charset val="134"/>
    </font>
    <font>
      <sz val="11"/>
      <color rgb="FF333333"/>
      <name val="Microsoft YaHei"/>
      <family val="2"/>
      <charset val="134"/>
    </font>
    <font>
      <b/>
      <sz val="11"/>
      <color rgb="FF333333"/>
      <name val="Microsoft YaHei"/>
      <family val="2"/>
      <charset val="134"/>
    </font>
    <font>
      <b/>
      <u/>
      <sz val="11"/>
      <color rgb="FF333333"/>
      <name val="Microsoft YaHei"/>
      <family val="2"/>
      <charset val="134"/>
    </font>
    <font>
      <sz val="10"/>
      <color theme="1"/>
      <name val="ＭＳ ゴシック"/>
      <family val="3"/>
      <charset val="128"/>
    </font>
    <font>
      <sz val="10"/>
      <color theme="1"/>
      <name val="Microsoft YaHei"/>
      <family val="3"/>
      <charset val="128"/>
    </font>
    <font>
      <sz val="11"/>
      <color theme="1"/>
      <name val="ＭＳ ゴシック"/>
      <family val="2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theme="1" tint="4.9989318521683403E-2"/>
      <name val="ＭＳ Ｐゴシック"/>
      <family val="3"/>
      <charset val="128"/>
    </font>
    <font>
      <sz val="10"/>
      <color theme="1" tint="4.9989318521683403E-2"/>
      <name val="Microsoft YaHei"/>
      <family val="2"/>
      <charset val="134"/>
    </font>
    <font>
      <sz val="10"/>
      <color theme="1" tint="4.9989318521683403E-2"/>
      <name val="Microsoft YaHei"/>
      <family val="3"/>
      <charset val="134"/>
    </font>
    <font>
      <sz val="10"/>
      <color theme="1" tint="4.9989318521683403E-2"/>
      <name val="ＭＳ ゴシック"/>
      <family val="3"/>
      <charset val="128"/>
    </font>
    <font>
      <sz val="10"/>
      <color theme="1" tint="4.9989318521683403E-2"/>
      <name val="ＭＳ Ｐゴシック"/>
      <family val="2"/>
      <charset val="128"/>
    </font>
    <font>
      <u/>
      <sz val="11"/>
      <color rgb="FFFF0000"/>
      <name val="Yu Gothic"/>
      <family val="2"/>
      <scheme val="minor"/>
    </font>
    <font>
      <u/>
      <sz val="11"/>
      <color rgb="FFFFC000"/>
      <name val="Yu Gothic"/>
      <family val="2"/>
      <scheme val="minor"/>
    </font>
    <font>
      <sz val="11"/>
      <color rgb="FF41A6D9"/>
      <name val="Var(--font-monospace)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</cellStyleXfs>
  <cellXfs count="148">
    <xf numFmtId="0" fontId="0" fillId="0" borderId="0" xfId="0"/>
    <xf numFmtId="0" fontId="3" fillId="0" borderId="0" xfId="2" applyFont="1">
      <alignment vertical="center"/>
    </xf>
    <xf numFmtId="0" fontId="3" fillId="0" borderId="0" xfId="2" applyFont="1" applyAlignment="1">
      <alignment horizontal="center" vertical="center"/>
    </xf>
    <xf numFmtId="0" fontId="3" fillId="2" borderId="4" xfId="2" applyFont="1" applyFill="1" applyBorder="1" applyAlignment="1">
      <alignment horizontal="center" vertical="center"/>
    </xf>
    <xf numFmtId="0" fontId="9" fillId="2" borderId="14" xfId="4" applyFont="1" applyFill="1" applyBorder="1" applyAlignment="1">
      <alignment horizontal="center" vertical="center"/>
    </xf>
    <xf numFmtId="0" fontId="3" fillId="2" borderId="14" xfId="2" applyFont="1" applyFill="1" applyBorder="1" applyAlignment="1">
      <alignment horizontal="center" vertical="center" wrapText="1"/>
    </xf>
    <xf numFmtId="0" fontId="10" fillId="2" borderId="14" xfId="2" applyFont="1" applyFill="1" applyBorder="1" applyAlignment="1">
      <alignment horizontal="center" vertical="center" wrapText="1"/>
    </xf>
    <xf numFmtId="0" fontId="3" fillId="2" borderId="14" xfId="2" applyFont="1" applyFill="1" applyBorder="1" applyAlignment="1">
      <alignment horizontal="centerContinuous" vertical="center"/>
    </xf>
    <xf numFmtId="0" fontId="3" fillId="0" borderId="0" xfId="2" applyFont="1" applyAlignment="1">
      <alignment vertical="center"/>
    </xf>
    <xf numFmtId="0" fontId="7" fillId="0" borderId="14" xfId="2" applyFont="1" applyFill="1" applyBorder="1" applyAlignment="1">
      <alignment vertical="center" shrinkToFit="1"/>
    </xf>
    <xf numFmtId="0" fontId="7" fillId="0" borderId="14" xfId="2" applyFont="1" applyFill="1" applyBorder="1" applyAlignment="1">
      <alignment horizontal="center" vertical="center"/>
    </xf>
    <xf numFmtId="0" fontId="7" fillId="0" borderId="14" xfId="2" applyFont="1" applyFill="1" applyBorder="1" applyAlignment="1">
      <alignment vertical="center" wrapText="1"/>
    </xf>
    <xf numFmtId="0" fontId="7" fillId="0" borderId="0" xfId="2" applyFont="1" applyFill="1">
      <alignment vertical="center"/>
    </xf>
    <xf numFmtId="0" fontId="11" fillId="0" borderId="0" xfId="2" applyFont="1">
      <alignment vertical="center"/>
    </xf>
    <xf numFmtId="0" fontId="11" fillId="0" borderId="14" xfId="2" applyFont="1" applyBorder="1" applyAlignment="1">
      <alignment horizontal="center" vertical="center"/>
    </xf>
    <xf numFmtId="0" fontId="12" fillId="0" borderId="14" xfId="2" applyFont="1" applyBorder="1" applyAlignment="1">
      <alignment horizontal="center" vertical="center"/>
    </xf>
    <xf numFmtId="0" fontId="12" fillId="0" borderId="14" xfId="0" quotePrefix="1" applyFont="1" applyBorder="1" applyAlignment="1">
      <alignment vertical="center" wrapText="1"/>
    </xf>
    <xf numFmtId="0" fontId="12" fillId="0" borderId="14" xfId="0" applyFont="1" applyBorder="1" applyAlignment="1">
      <alignment vertical="center" wrapText="1"/>
    </xf>
    <xf numFmtId="0" fontId="0" fillId="0" borderId="0" xfId="0" applyAlignment="1">
      <alignment wrapText="1"/>
    </xf>
    <xf numFmtId="0" fontId="12" fillId="7" borderId="14" xfId="0" applyFont="1" applyFill="1" applyBorder="1" applyAlignment="1">
      <alignment vertical="center" wrapText="1"/>
    </xf>
    <xf numFmtId="0" fontId="6" fillId="0" borderId="0" xfId="3" applyFont="1" applyAlignment="1" applyProtection="1">
      <alignment horizontal="right" vertical="center"/>
    </xf>
    <xf numFmtId="0" fontId="8" fillId="2" borderId="1" xfId="2" applyFont="1" applyFill="1" applyBorder="1" applyAlignment="1">
      <alignment horizontal="centerContinuous" vertical="center"/>
    </xf>
    <xf numFmtId="0" fontId="8" fillId="2" borderId="2" xfId="2" applyFont="1" applyFill="1" applyBorder="1" applyAlignment="1">
      <alignment horizontal="centerContinuous" vertical="center"/>
    </xf>
    <xf numFmtId="0" fontId="8" fillId="2" borderId="3" xfId="2" applyFont="1" applyFill="1" applyBorder="1" applyAlignment="1">
      <alignment horizontal="centerContinuous" vertical="center"/>
    </xf>
    <xf numFmtId="0" fontId="9" fillId="3" borderId="0" xfId="2" applyFont="1" applyFill="1" applyBorder="1" applyAlignment="1">
      <alignment horizontal="center" vertical="center"/>
    </xf>
    <xf numFmtId="0" fontId="9" fillId="4" borderId="4" xfId="2" applyFont="1" applyFill="1" applyBorder="1" applyAlignment="1">
      <alignment horizontal="center" vertical="center"/>
    </xf>
    <xf numFmtId="0" fontId="8" fillId="3" borderId="5" xfId="2" applyFont="1" applyFill="1" applyBorder="1" applyAlignment="1">
      <alignment horizontal="centerContinuous" vertical="center"/>
    </xf>
    <xf numFmtId="0" fontId="8" fillId="3" borderId="0" xfId="2" applyFont="1" applyFill="1" applyBorder="1" applyAlignment="1">
      <alignment horizontal="centerContinuous" vertical="center"/>
    </xf>
    <xf numFmtId="0" fontId="8" fillId="3" borderId="6" xfId="2" applyFont="1" applyFill="1" applyBorder="1" applyAlignment="1">
      <alignment horizontal="left" vertical="center"/>
    </xf>
    <xf numFmtId="0" fontId="8" fillId="3" borderId="7" xfId="2" applyFont="1" applyFill="1" applyBorder="1" applyAlignment="1">
      <alignment horizontal="left" vertical="center"/>
    </xf>
    <xf numFmtId="0" fontId="8" fillId="3" borderId="8" xfId="2" applyFont="1" applyFill="1" applyBorder="1" applyAlignment="1">
      <alignment horizontal="left" vertical="center"/>
    </xf>
    <xf numFmtId="0" fontId="8" fillId="3" borderId="0" xfId="2" applyFont="1" applyFill="1" applyBorder="1" applyAlignment="1">
      <alignment horizontal="center" vertical="center"/>
    </xf>
    <xf numFmtId="0" fontId="8" fillId="3" borderId="9" xfId="2" applyFont="1" applyFill="1" applyBorder="1" applyAlignment="1">
      <alignment horizontal="centerContinuous" vertical="center"/>
    </xf>
    <xf numFmtId="0" fontId="8" fillId="5" borderId="1" xfId="2" applyFont="1" applyFill="1" applyBorder="1" applyAlignment="1">
      <alignment horizontal="centerContinuous" vertical="center"/>
    </xf>
    <xf numFmtId="0" fontId="8" fillId="5" borderId="3" xfId="2" applyFont="1" applyFill="1" applyBorder="1" applyAlignment="1">
      <alignment horizontal="centerContinuous" vertical="center"/>
    </xf>
    <xf numFmtId="0" fontId="8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Continuous" vertical="center"/>
    </xf>
    <xf numFmtId="0" fontId="9" fillId="3" borderId="12" xfId="2" applyFont="1" applyFill="1" applyBorder="1" applyAlignment="1">
      <alignment horizontal="centerContinuous" vertical="center"/>
    </xf>
    <xf numFmtId="0" fontId="9" fillId="3" borderId="8" xfId="2" applyFont="1" applyFill="1" applyBorder="1" applyAlignment="1">
      <alignment horizontal="centerContinuous" vertical="center"/>
    </xf>
    <xf numFmtId="0" fontId="8" fillId="3" borderId="13" xfId="2" applyFont="1" applyFill="1" applyBorder="1" applyAlignment="1">
      <alignment horizontal="centerContinuous" vertical="center"/>
    </xf>
    <xf numFmtId="0" fontId="8" fillId="0" borderId="0" xfId="2" applyFont="1" applyFill="1">
      <alignment vertical="center"/>
    </xf>
    <xf numFmtId="0" fontId="3" fillId="0" borderId="14" xfId="2" applyFont="1" applyBorder="1" applyAlignment="1">
      <alignment horizontal="center" vertical="center"/>
    </xf>
    <xf numFmtId="0" fontId="8" fillId="0" borderId="14" xfId="2" applyFont="1" applyFill="1" applyBorder="1">
      <alignment vertical="center"/>
    </xf>
    <xf numFmtId="0" fontId="8" fillId="0" borderId="14" xfId="2" applyFont="1" applyFill="1" applyBorder="1" applyAlignment="1">
      <alignment vertical="center" shrinkToFit="1"/>
    </xf>
    <xf numFmtId="0" fontId="8" fillId="0" borderId="14" xfId="2" applyFont="1" applyFill="1" applyBorder="1" applyAlignment="1">
      <alignment horizontal="center" vertical="center"/>
    </xf>
    <xf numFmtId="0" fontId="10" fillId="0" borderId="14" xfId="2" applyFont="1" applyFill="1" applyBorder="1">
      <alignment vertical="center"/>
    </xf>
    <xf numFmtId="0" fontId="8" fillId="0" borderId="14" xfId="2" applyFont="1" applyFill="1" applyBorder="1" applyAlignment="1">
      <alignment vertical="center" wrapText="1"/>
    </xf>
    <xf numFmtId="0" fontId="3" fillId="6" borderId="14" xfId="2" applyFont="1" applyFill="1" applyBorder="1" applyAlignment="1">
      <alignment horizontal="center" vertical="center"/>
    </xf>
    <xf numFmtId="0" fontId="8" fillId="6" borderId="14" xfId="2" applyFont="1" applyFill="1" applyBorder="1" applyAlignment="1">
      <alignment vertical="center"/>
    </xf>
    <xf numFmtId="0" fontId="8" fillId="6" borderId="14" xfId="2" applyFont="1" applyFill="1" applyBorder="1" applyAlignment="1">
      <alignment vertical="center" shrinkToFit="1"/>
    </xf>
    <xf numFmtId="0" fontId="8" fillId="6" borderId="14" xfId="2" applyFont="1" applyFill="1" applyBorder="1" applyAlignment="1">
      <alignment horizontal="center" vertical="center"/>
    </xf>
    <xf numFmtId="0" fontId="8" fillId="6" borderId="14" xfId="2" applyFont="1" applyFill="1" applyBorder="1" applyAlignment="1">
      <alignment vertical="center" wrapText="1"/>
    </xf>
    <xf numFmtId="0" fontId="8" fillId="0" borderId="0" xfId="2" applyFont="1" applyFill="1" applyAlignment="1">
      <alignment vertical="center"/>
    </xf>
    <xf numFmtId="0" fontId="11" fillId="0" borderId="14" xfId="0" applyFont="1" applyFill="1" applyBorder="1" applyAlignment="1">
      <alignment horizontal="left" vertical="center"/>
    </xf>
    <xf numFmtId="0" fontId="7" fillId="0" borderId="14" xfId="2" applyFont="1" applyFill="1" applyBorder="1" applyAlignment="1">
      <alignment vertical="center"/>
    </xf>
    <xf numFmtId="0" fontId="11" fillId="0" borderId="14" xfId="0" applyFont="1" applyBorder="1" applyAlignment="1">
      <alignment horizontal="right" vertical="center"/>
    </xf>
    <xf numFmtId="0" fontId="11" fillId="0" borderId="14" xfId="0" quotePrefix="1" applyFont="1" applyBorder="1" applyAlignment="1">
      <alignment horizontal="right" vertical="center"/>
    </xf>
    <xf numFmtId="0" fontId="13" fillId="0" borderId="14" xfId="1" applyFont="1" applyBorder="1" applyAlignment="1">
      <alignment horizontal="right" vertical="center"/>
    </xf>
    <xf numFmtId="0" fontId="11" fillId="0" borderId="14" xfId="2" applyFont="1" applyFill="1" applyBorder="1" applyAlignment="1">
      <alignment vertical="center"/>
    </xf>
    <xf numFmtId="0" fontId="11" fillId="0" borderId="14" xfId="2" applyFont="1" applyFill="1" applyBorder="1" applyAlignment="1">
      <alignment horizontal="center" vertical="center"/>
    </xf>
    <xf numFmtId="0" fontId="11" fillId="0" borderId="14" xfId="2" applyFont="1" applyFill="1" applyBorder="1" applyAlignment="1">
      <alignment vertical="center" wrapText="1"/>
    </xf>
    <xf numFmtId="14" fontId="11" fillId="0" borderId="14" xfId="0" applyNumberFormat="1" applyFont="1" applyBorder="1" applyAlignment="1">
      <alignment horizontal="right" vertical="center"/>
    </xf>
    <xf numFmtId="0" fontId="7" fillId="0" borderId="0" xfId="2" applyFont="1" applyFill="1" applyAlignment="1">
      <alignment vertical="center"/>
    </xf>
    <xf numFmtId="0" fontId="14" fillId="0" borderId="14" xfId="0" applyFont="1" applyBorder="1"/>
    <xf numFmtId="0" fontId="16" fillId="0" borderId="14" xfId="2" applyFont="1" applyFill="1" applyBorder="1" applyAlignment="1">
      <alignment vertical="center"/>
    </xf>
    <xf numFmtId="0" fontId="15" fillId="0" borderId="14" xfId="2" applyFont="1" applyFill="1" applyBorder="1" applyAlignment="1">
      <alignment vertical="center"/>
    </xf>
    <xf numFmtId="0" fontId="17" fillId="0" borderId="14" xfId="2" applyFont="1" applyFill="1" applyBorder="1" applyAlignment="1">
      <alignment vertical="center"/>
    </xf>
    <xf numFmtId="0" fontId="0" fillId="0" borderId="14" xfId="0" applyBorder="1"/>
    <xf numFmtId="0" fontId="0" fillId="0" borderId="14" xfId="0" quotePrefix="1" applyBorder="1" applyAlignment="1">
      <alignment horizontal="center"/>
    </xf>
    <xf numFmtId="0" fontId="15" fillId="0" borderId="14" xfId="2" applyFont="1" applyFill="1" applyBorder="1" applyAlignment="1">
      <alignment horizontal="center" vertical="center"/>
    </xf>
    <xf numFmtId="0" fontId="0" fillId="3" borderId="0" xfId="0" applyFill="1"/>
    <xf numFmtId="0" fontId="14" fillId="3" borderId="0" xfId="0" applyFont="1" applyFill="1"/>
    <xf numFmtId="0" fontId="18" fillId="0" borderId="0" xfId="0" applyFont="1"/>
    <xf numFmtId="0" fontId="12" fillId="8" borderId="0" xfId="0" applyFont="1" applyFill="1"/>
    <xf numFmtId="0" fontId="0" fillId="3" borderId="7" xfId="0" applyFill="1" applyBorder="1"/>
    <xf numFmtId="0" fontId="0" fillId="0" borderId="7" xfId="0" applyBorder="1"/>
    <xf numFmtId="0" fontId="19" fillId="8" borderId="0" xfId="0" applyFont="1" applyFill="1"/>
    <xf numFmtId="0" fontId="20" fillId="8" borderId="0" xfId="0" applyFont="1" applyFill="1"/>
    <xf numFmtId="0" fontId="21" fillId="8" borderId="0" xfId="0" applyFont="1" applyFill="1"/>
    <xf numFmtId="0" fontId="22" fillId="3" borderId="14" xfId="0" applyFont="1" applyFill="1" applyBorder="1" applyAlignment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21" xfId="0" applyFill="1" applyBorder="1"/>
    <xf numFmtId="0" fontId="0" fillId="3" borderId="6" xfId="0" applyFill="1" applyBorder="1"/>
    <xf numFmtId="0" fontId="0" fillId="3" borderId="8" xfId="0" applyFill="1" applyBorder="1"/>
    <xf numFmtId="0" fontId="21" fillId="3" borderId="0" xfId="0" applyFont="1" applyFill="1"/>
    <xf numFmtId="0" fontId="21" fillId="0" borderId="0" xfId="0" applyFont="1"/>
    <xf numFmtId="0" fontId="24" fillId="0" borderId="14" xfId="0" applyFont="1" applyFill="1" applyBorder="1" applyAlignment="1">
      <alignment horizontal="left" vertical="center"/>
    </xf>
    <xf numFmtId="0" fontId="23" fillId="0" borderId="14" xfId="0" applyFont="1" applyFill="1" applyBorder="1" applyAlignment="1">
      <alignment horizontal="left" vertical="center"/>
    </xf>
    <xf numFmtId="0" fontId="25" fillId="0" borderId="0" xfId="0" applyFont="1" applyAlignment="1">
      <alignment vertical="center"/>
    </xf>
    <xf numFmtId="0" fontId="0" fillId="0" borderId="14" xfId="0" quotePrefix="1" applyBorder="1"/>
    <xf numFmtId="0" fontId="26" fillId="3" borderId="10" xfId="2" applyFont="1" applyFill="1" applyBorder="1" applyAlignment="1">
      <alignment horizontal="center" vertical="center"/>
    </xf>
    <xf numFmtId="0" fontId="28" fillId="3" borderId="10" xfId="2" applyFont="1" applyFill="1" applyBorder="1" applyAlignment="1">
      <alignment horizontal="center" vertical="center"/>
    </xf>
    <xf numFmtId="0" fontId="17" fillId="0" borderId="14" xfId="2" applyFont="1" applyFill="1" applyBorder="1" applyAlignment="1">
      <alignment vertical="center" shrinkToFit="1"/>
    </xf>
    <xf numFmtId="0" fontId="0" fillId="0" borderId="14" xfId="0" applyBorder="1" applyAlignment="1">
      <alignment horizontal="center"/>
    </xf>
    <xf numFmtId="0" fontId="15" fillId="0" borderId="14" xfId="2" applyFont="1" applyFill="1" applyBorder="1" applyAlignment="1">
      <alignment vertical="center" shrinkToFit="1"/>
    </xf>
    <xf numFmtId="0" fontId="7" fillId="9" borderId="14" xfId="2" applyFont="1" applyFill="1" applyBorder="1" applyAlignment="1">
      <alignment vertical="center"/>
    </xf>
    <xf numFmtId="0" fontId="17" fillId="9" borderId="14" xfId="2" applyFont="1" applyFill="1" applyBorder="1" applyAlignment="1">
      <alignment vertical="center"/>
    </xf>
    <xf numFmtId="0" fontId="16" fillId="9" borderId="14" xfId="2" applyFont="1" applyFill="1" applyBorder="1" applyAlignment="1">
      <alignment vertical="center"/>
    </xf>
    <xf numFmtId="0" fontId="7" fillId="9" borderId="14" xfId="2" applyFont="1" applyFill="1" applyBorder="1" applyAlignment="1">
      <alignment vertical="center" shrinkToFit="1"/>
    </xf>
    <xf numFmtId="0" fontId="15" fillId="9" borderId="14" xfId="2" applyFont="1" applyFill="1" applyBorder="1" applyAlignment="1">
      <alignment vertical="center" shrinkToFit="1"/>
    </xf>
    <xf numFmtId="0" fontId="11" fillId="9" borderId="14" xfId="0" applyFont="1" applyFill="1" applyBorder="1" applyAlignment="1">
      <alignment horizontal="left" vertical="center"/>
    </xf>
    <xf numFmtId="0" fontId="7" fillId="9" borderId="14" xfId="2" applyFont="1" applyFill="1" applyBorder="1" applyAlignment="1">
      <alignment horizontal="center" vertical="center"/>
    </xf>
    <xf numFmtId="0" fontId="30" fillId="9" borderId="14" xfId="2" applyFont="1" applyFill="1" applyBorder="1" applyAlignment="1">
      <alignment vertical="center"/>
    </xf>
    <xf numFmtId="0" fontId="0" fillId="0" borderId="14" xfId="0" applyBorder="1" applyAlignment="1">
      <alignment horizontal="right"/>
    </xf>
    <xf numFmtId="0" fontId="14" fillId="0" borderId="14" xfId="0" applyFont="1" applyBorder="1" applyAlignment="1"/>
    <xf numFmtId="14" fontId="0" fillId="0" borderId="14" xfId="0" applyNumberFormat="1" applyBorder="1"/>
    <xf numFmtId="0" fontId="31" fillId="0" borderId="0" xfId="0" applyFont="1"/>
    <xf numFmtId="0" fontId="0" fillId="0" borderId="14" xfId="0" applyBorder="1" applyAlignment="1"/>
    <xf numFmtId="0" fontId="3" fillId="2" borderId="14" xfId="2" applyFont="1" applyFill="1" applyBorder="1" applyAlignment="1">
      <alignment horizontal="left" vertical="center"/>
    </xf>
    <xf numFmtId="0" fontId="15" fillId="0" borderId="14" xfId="2" applyFont="1" applyFill="1" applyBorder="1" applyAlignment="1">
      <alignment vertical="center" wrapText="1"/>
    </xf>
    <xf numFmtId="0" fontId="34" fillId="0" borderId="14" xfId="0" applyFont="1" applyFill="1" applyBorder="1" applyAlignment="1">
      <alignment horizontal="left" vertical="center"/>
    </xf>
    <xf numFmtId="0" fontId="35" fillId="0" borderId="14" xfId="0" applyFont="1" applyFill="1" applyBorder="1" applyAlignment="1">
      <alignment horizontal="left" vertical="center"/>
    </xf>
    <xf numFmtId="0" fontId="29" fillId="9" borderId="14" xfId="2" applyFont="1" applyFill="1" applyBorder="1" applyAlignment="1">
      <alignment horizontal="center" vertical="center"/>
    </xf>
    <xf numFmtId="0" fontId="36" fillId="0" borderId="14" xfId="0" applyFont="1" applyBorder="1"/>
    <xf numFmtId="0" fontId="37" fillId="9" borderId="14" xfId="2" applyFont="1" applyFill="1" applyBorder="1" applyAlignment="1">
      <alignment vertical="center"/>
    </xf>
    <xf numFmtId="0" fontId="38" fillId="9" borderId="14" xfId="2" applyFont="1" applyFill="1" applyBorder="1" applyAlignment="1">
      <alignment vertical="center"/>
    </xf>
    <xf numFmtId="0" fontId="34" fillId="9" borderId="14" xfId="0" applyFont="1" applyFill="1" applyBorder="1" applyAlignment="1">
      <alignment horizontal="left" vertical="center"/>
    </xf>
    <xf numFmtId="0" fontId="38" fillId="0" borderId="14" xfId="2" applyFont="1" applyFill="1" applyBorder="1" applyAlignment="1">
      <alignment horizontal="center" vertical="center"/>
    </xf>
    <xf numFmtId="0" fontId="39" fillId="0" borderId="14" xfId="2" applyFont="1" applyFill="1" applyBorder="1" applyAlignment="1">
      <alignment horizontal="left" vertical="center"/>
    </xf>
    <xf numFmtId="0" fontId="39" fillId="0" borderId="14" xfId="2" applyFont="1" applyFill="1" applyBorder="1" applyAlignment="1">
      <alignment horizontal="left" vertical="center" shrinkToFit="1"/>
    </xf>
    <xf numFmtId="0" fontId="40" fillId="0" borderId="14" xfId="2" applyFont="1" applyFill="1" applyBorder="1" applyAlignment="1">
      <alignment horizontal="left" vertical="center"/>
    </xf>
    <xf numFmtId="0" fontId="41" fillId="0" borderId="14" xfId="2" applyFont="1" applyFill="1" applyBorder="1" applyAlignment="1">
      <alignment horizontal="left" vertical="center" shrinkToFit="1"/>
    </xf>
    <xf numFmtId="0" fontId="42" fillId="0" borderId="14" xfId="2" applyFont="1" applyFill="1" applyBorder="1" applyAlignment="1">
      <alignment horizontal="left" vertical="center"/>
    </xf>
    <xf numFmtId="0" fontId="43" fillId="0" borderId="14" xfId="2" applyFont="1" applyFill="1" applyBorder="1" applyAlignment="1">
      <alignment horizontal="left" vertical="center"/>
    </xf>
    <xf numFmtId="0" fontId="42" fillId="0" borderId="14" xfId="0" applyFont="1" applyFill="1" applyBorder="1" applyAlignment="1">
      <alignment horizontal="left" vertical="center"/>
    </xf>
    <xf numFmtId="0" fontId="39" fillId="0" borderId="14" xfId="0" applyFont="1" applyFill="1" applyBorder="1" applyAlignment="1">
      <alignment horizontal="left" vertical="center"/>
    </xf>
    <xf numFmtId="0" fontId="7" fillId="0" borderId="14" xfId="2" applyFont="1" applyFill="1" applyBorder="1" applyAlignment="1">
      <alignment horizontal="right" vertical="center"/>
    </xf>
    <xf numFmtId="0" fontId="39" fillId="0" borderId="14" xfId="2" applyFont="1" applyFill="1" applyBorder="1" applyAlignment="1">
      <alignment horizontal="right" vertical="center"/>
    </xf>
    <xf numFmtId="0" fontId="1" fillId="0" borderId="0" xfId="1"/>
    <xf numFmtId="0" fontId="44" fillId="0" borderId="0" xfId="1" applyFont="1"/>
    <xf numFmtId="0" fontId="45" fillId="0" borderId="0" xfId="1" applyFont="1"/>
    <xf numFmtId="0" fontId="14" fillId="0" borderId="0" xfId="0" applyFont="1"/>
    <xf numFmtId="0" fontId="46" fillId="0" borderId="0" xfId="0" applyFont="1" applyAlignment="1">
      <alignment vertical="center"/>
    </xf>
    <xf numFmtId="0" fontId="11" fillId="3" borderId="7" xfId="0" applyFont="1" applyFill="1" applyBorder="1" applyAlignment="1">
      <alignment horizontal="left" vertical="center" wrapText="1" indent="1"/>
    </xf>
    <xf numFmtId="0" fontId="11" fillId="3" borderId="7" xfId="0" applyFont="1" applyFill="1" applyBorder="1" applyAlignment="1">
      <alignment horizontal="left" vertical="center" wrapText="1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12" fillId="3" borderId="15" xfId="0" applyFont="1" applyFill="1" applyBorder="1" applyAlignment="1">
      <alignment horizontal="center"/>
    </xf>
    <xf numFmtId="0" fontId="12" fillId="3" borderId="16" xfId="0" applyFont="1" applyFill="1" applyBorder="1" applyAlignment="1">
      <alignment horizontal="center"/>
    </xf>
    <xf numFmtId="0" fontId="12" fillId="3" borderId="17" xfId="0" applyFont="1" applyFill="1" applyBorder="1" applyAlignment="1">
      <alignment horizontal="center"/>
    </xf>
    <xf numFmtId="0" fontId="3" fillId="2" borderId="22" xfId="2" applyFont="1" applyFill="1" applyBorder="1" applyAlignment="1">
      <alignment horizontal="center" vertical="center"/>
    </xf>
    <xf numFmtId="0" fontId="3" fillId="2" borderId="13" xfId="2" applyFont="1" applyFill="1" applyBorder="1" applyAlignment="1">
      <alignment horizontal="center" vertical="center"/>
    </xf>
  </cellXfs>
  <cellStyles count="5">
    <cellStyle name="ハイパーリンク" xfId="1" builtinId="8"/>
    <cellStyle name="ハイパーリンク 2" xfId="3" xr:uid="{8BC5E1D3-9EB9-4D27-BB9F-B5A6357242C6}"/>
    <cellStyle name="標準" xfId="0" builtinId="0"/>
    <cellStyle name="標準 2" xfId="2" xr:uid="{062F5464-5712-4FA4-B703-9DE32693A3A4}"/>
    <cellStyle name="標準 2 2" xfId="4" xr:uid="{743CD21B-B024-44DC-9830-A16E77F5F87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2</xdr:row>
          <xdr:rowOff>142875</xdr:rowOff>
        </xdr:from>
        <xdr:to>
          <xdr:col>5</xdr:col>
          <xdr:colOff>47625</xdr:colOff>
          <xdr:row>4</xdr:row>
          <xdr:rowOff>9525</xdr:rowOff>
        </xdr:to>
        <xdr:sp macro="" textlink="">
          <xdr:nvSpPr>
            <xdr:cNvPr id="1025" name="btnSakusei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angbaiyuan.cn/open-source-rn-expandabletextreactnative-long-text-folding-component.html" TargetMode="External"/><Relationship Id="rId3" Type="http://schemas.openxmlformats.org/officeDocument/2006/relationships/hyperlink" Target="https://www.jianshu.com/p/7c81e122276b" TargetMode="External"/><Relationship Id="rId7" Type="http://schemas.openxmlformats.org/officeDocument/2006/relationships/hyperlink" Target="https://blog.csdn.net/u011958281/article/details/78614792" TargetMode="External"/><Relationship Id="rId2" Type="http://schemas.openxmlformats.org/officeDocument/2006/relationships/hyperlink" Target="https://blog.csdn.net/qq_43479946/article/details/83243909" TargetMode="External"/><Relationship Id="rId1" Type="http://schemas.openxmlformats.org/officeDocument/2006/relationships/hyperlink" Target="https://www.jb51.net/article/123399.htm" TargetMode="External"/><Relationship Id="rId6" Type="http://schemas.openxmlformats.org/officeDocument/2006/relationships/hyperlink" Target="https://blog.csdn.net/u011272795/article/details/80887478" TargetMode="External"/><Relationship Id="rId5" Type="http://schemas.openxmlformats.org/officeDocument/2006/relationships/hyperlink" Target="https://segmentfault.com/a/1190000017054654?utm_source=tag-newest" TargetMode="External"/><Relationship Id="rId4" Type="http://schemas.openxmlformats.org/officeDocument/2006/relationships/hyperlink" Target="https://www.jb51.net/article/123399.htm" TargetMode="External"/><Relationship Id="rId9" Type="http://schemas.openxmlformats.org/officeDocument/2006/relationships/hyperlink" Target="http://www.cssmoban.com/cssthemes/8337.s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19999@163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04346-2ECF-48A6-8AE8-96D6B0BB01A3}">
  <sheetPr codeName="Sheet2"/>
  <dimension ref="B2:Z106"/>
  <sheetViews>
    <sheetView tabSelected="1" topLeftCell="A74" zoomScaleNormal="100" workbookViewId="0">
      <selection activeCell="AS89" sqref="AS89"/>
    </sheetView>
  </sheetViews>
  <sheetFormatPr defaultRowHeight="18.75"/>
  <cols>
    <col min="1" max="93" width="2.625" customWidth="1"/>
  </cols>
  <sheetData>
    <row r="2" spans="6:25"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2"/>
      <c r="V2" s="71"/>
      <c r="W2" s="71"/>
      <c r="X2" s="71"/>
      <c r="Y2" s="71"/>
    </row>
    <row r="3" spans="6:25"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2"/>
      <c r="V3" s="71"/>
      <c r="W3" s="71"/>
      <c r="X3" s="71"/>
      <c r="Y3" s="71"/>
    </row>
    <row r="4" spans="6:25">
      <c r="F4" s="71"/>
      <c r="G4" s="71"/>
      <c r="H4" s="71"/>
      <c r="I4" s="71" t="s">
        <v>74</v>
      </c>
      <c r="J4" s="71"/>
      <c r="K4" s="71" t="s">
        <v>95</v>
      </c>
      <c r="L4" s="71"/>
      <c r="M4" s="71" t="s">
        <v>96</v>
      </c>
      <c r="N4" s="71"/>
      <c r="O4" s="71" t="s">
        <v>97</v>
      </c>
      <c r="P4" s="71"/>
      <c r="Q4" s="71"/>
      <c r="R4" s="71"/>
      <c r="S4" s="71"/>
      <c r="T4" s="71"/>
      <c r="U4" s="72"/>
      <c r="V4" s="71"/>
      <c r="W4" s="71"/>
      <c r="X4" s="71"/>
      <c r="Y4" s="71"/>
    </row>
    <row r="5" spans="6:25"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2"/>
      <c r="V5" s="71"/>
      <c r="W5" s="71"/>
      <c r="X5" s="71"/>
      <c r="Y5" s="71"/>
    </row>
    <row r="6" spans="6:25">
      <c r="F6" s="71"/>
      <c r="G6" s="71"/>
      <c r="H6" s="71"/>
      <c r="I6" s="71"/>
      <c r="J6" s="71"/>
      <c r="K6" s="71" t="s">
        <v>98</v>
      </c>
      <c r="L6" s="71" t="s">
        <v>99</v>
      </c>
      <c r="M6" s="71"/>
      <c r="N6" s="71"/>
      <c r="O6" s="71"/>
      <c r="P6" s="71"/>
      <c r="Q6" s="71" t="s">
        <v>98</v>
      </c>
      <c r="R6" s="71" t="s">
        <v>100</v>
      </c>
      <c r="S6" s="71"/>
      <c r="T6" s="71"/>
      <c r="U6" s="72"/>
      <c r="V6" s="71"/>
      <c r="W6" s="71"/>
      <c r="X6" s="71"/>
      <c r="Y6" s="71"/>
    </row>
    <row r="7" spans="6:25">
      <c r="F7" s="71"/>
      <c r="G7" s="71"/>
      <c r="H7" s="71"/>
      <c r="I7" s="71"/>
      <c r="J7" s="71"/>
      <c r="K7" s="71" t="s">
        <v>98</v>
      </c>
      <c r="L7" s="71" t="s">
        <v>101</v>
      </c>
      <c r="M7" s="71"/>
      <c r="N7" s="71"/>
      <c r="O7" s="71"/>
      <c r="P7" s="71"/>
      <c r="Q7" s="71" t="s">
        <v>98</v>
      </c>
      <c r="R7" s="71" t="s">
        <v>102</v>
      </c>
      <c r="S7" s="71"/>
      <c r="T7" s="71"/>
      <c r="U7" s="72"/>
      <c r="V7" s="71"/>
      <c r="W7" s="71"/>
      <c r="X7" s="71"/>
      <c r="Y7" s="71"/>
    </row>
    <row r="8" spans="6:25">
      <c r="F8" s="71"/>
      <c r="G8" s="71"/>
      <c r="H8" s="71"/>
      <c r="I8" s="71"/>
      <c r="J8" s="71"/>
      <c r="K8" s="71" t="s">
        <v>98</v>
      </c>
      <c r="L8" s="71" t="s">
        <v>103</v>
      </c>
      <c r="M8" s="71"/>
      <c r="N8" s="71"/>
      <c r="O8" s="71"/>
      <c r="P8" s="71"/>
      <c r="Q8" s="71" t="s">
        <v>98</v>
      </c>
      <c r="R8" s="71" t="s">
        <v>104</v>
      </c>
      <c r="S8" s="71"/>
      <c r="T8" s="71"/>
      <c r="U8" s="72"/>
      <c r="V8" s="71"/>
      <c r="W8" s="71"/>
      <c r="X8" s="71"/>
      <c r="Y8" s="71"/>
    </row>
    <row r="9" spans="6:25">
      <c r="F9" s="71"/>
      <c r="G9" s="71"/>
      <c r="H9" s="71"/>
      <c r="I9" s="71"/>
      <c r="J9" s="71"/>
      <c r="K9" s="71" t="s">
        <v>98</v>
      </c>
      <c r="L9" s="71" t="s">
        <v>105</v>
      </c>
      <c r="M9" s="71"/>
      <c r="N9" s="71"/>
      <c r="O9" s="71"/>
      <c r="P9" s="71"/>
      <c r="Q9" s="71"/>
      <c r="R9" s="71"/>
      <c r="S9" s="71"/>
      <c r="T9" s="71"/>
      <c r="U9" s="72"/>
      <c r="V9" s="71"/>
      <c r="W9" s="71"/>
      <c r="X9" s="71"/>
      <c r="Y9" s="71"/>
    </row>
    <row r="10" spans="6:25"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  <c r="S10" s="71"/>
      <c r="T10" s="71"/>
      <c r="U10" s="72"/>
      <c r="V10" s="71"/>
      <c r="W10" s="71"/>
      <c r="X10" s="71"/>
      <c r="Y10" s="71"/>
    </row>
    <row r="11" spans="6:25"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/>
      <c r="R11" s="71"/>
      <c r="S11" s="71"/>
      <c r="T11" s="71"/>
      <c r="U11" s="72"/>
      <c r="V11" s="71" t="s">
        <v>106</v>
      </c>
      <c r="W11" s="71"/>
      <c r="X11" s="71"/>
      <c r="Y11" s="71"/>
    </row>
    <row r="12" spans="6:25"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  <c r="U12" s="72"/>
      <c r="V12" s="71"/>
      <c r="W12" s="71"/>
      <c r="X12" s="71"/>
      <c r="Y12" s="71"/>
    </row>
    <row r="18" spans="6:25" ht="19.5">
      <c r="F18" s="71"/>
      <c r="G18" s="71"/>
      <c r="H18" s="73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2"/>
      <c r="V18" s="71"/>
      <c r="W18" s="71"/>
      <c r="X18" s="71"/>
      <c r="Y18" s="71"/>
    </row>
    <row r="19" spans="6:25"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</row>
    <row r="20" spans="6:25"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</row>
    <row r="21" spans="6:25"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</row>
    <row r="22" spans="6:25">
      <c r="F22" s="71"/>
      <c r="G22" s="74"/>
      <c r="H22" s="74" t="s">
        <v>107</v>
      </c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 t="s">
        <v>100</v>
      </c>
      <c r="V22" s="74"/>
      <c r="W22" s="74"/>
      <c r="X22" s="74"/>
      <c r="Y22" s="71"/>
    </row>
    <row r="23" spans="6:25" ht="36.75" customHeight="1">
      <c r="F23" s="75"/>
      <c r="G23" s="76"/>
      <c r="H23" s="139" t="s">
        <v>108</v>
      </c>
      <c r="I23" s="139"/>
      <c r="J23" s="139"/>
      <c r="K23" s="139"/>
      <c r="L23" s="139"/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75"/>
    </row>
    <row r="24" spans="6:25">
      <c r="F24" s="71"/>
      <c r="G24" s="74"/>
      <c r="H24" s="74" t="s">
        <v>107</v>
      </c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7" t="s">
        <v>109</v>
      </c>
      <c r="V24" s="74"/>
      <c r="W24" s="74"/>
      <c r="X24" s="74"/>
      <c r="Y24" s="71"/>
    </row>
    <row r="25" spans="6:25" ht="36.75" customHeight="1">
      <c r="F25" s="75"/>
      <c r="G25" s="76"/>
      <c r="H25" s="139" t="s">
        <v>110</v>
      </c>
      <c r="I25" s="139"/>
      <c r="J25" s="139"/>
      <c r="K25" s="139"/>
      <c r="L25" s="139"/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75"/>
    </row>
    <row r="26" spans="6:25">
      <c r="F26" s="71"/>
      <c r="G26" s="74"/>
      <c r="H26" s="74" t="s">
        <v>107</v>
      </c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8" t="s">
        <v>111</v>
      </c>
      <c r="V26" s="74"/>
      <c r="W26" s="74"/>
      <c r="X26" s="74"/>
      <c r="Y26" s="71"/>
    </row>
    <row r="27" spans="6:25" ht="36.75" customHeight="1">
      <c r="F27" s="75"/>
      <c r="G27" s="76"/>
      <c r="H27" s="139" t="s">
        <v>112</v>
      </c>
      <c r="I27" s="139"/>
      <c r="J27" s="139"/>
      <c r="K27" s="139"/>
      <c r="L27" s="139"/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75"/>
    </row>
    <row r="28" spans="6:25">
      <c r="F28" s="71"/>
      <c r="G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</row>
    <row r="29" spans="6:25"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</row>
    <row r="30" spans="6:25"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</row>
    <row r="34" spans="6:25" ht="19.5">
      <c r="F34" s="71"/>
      <c r="G34" s="71"/>
      <c r="H34" s="73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2"/>
      <c r="V34" s="71"/>
      <c r="W34" s="71"/>
      <c r="X34" s="71"/>
      <c r="Y34" s="71"/>
    </row>
    <row r="35" spans="6:25"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</row>
    <row r="36" spans="6:25">
      <c r="F36" s="71"/>
      <c r="G36" s="79"/>
      <c r="H36" s="79" t="s">
        <v>107</v>
      </c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 t="s">
        <v>100</v>
      </c>
      <c r="V36" s="79"/>
      <c r="W36" s="79"/>
      <c r="X36" s="79"/>
      <c r="Y36" s="71"/>
    </row>
    <row r="37" spans="6:25" ht="36.75" customHeight="1">
      <c r="F37" s="71"/>
      <c r="G37" s="76"/>
      <c r="H37" s="139" t="s">
        <v>113</v>
      </c>
      <c r="I37" s="139"/>
      <c r="J37" s="139"/>
      <c r="K37" s="139"/>
      <c r="L37" s="139"/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71"/>
    </row>
    <row r="38" spans="6:25" ht="36.75" customHeight="1">
      <c r="F38" s="71"/>
      <c r="G38" s="76"/>
      <c r="H38" s="138" t="s">
        <v>89</v>
      </c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71"/>
    </row>
    <row r="39" spans="6:25" ht="36.75" customHeight="1">
      <c r="F39" s="71"/>
      <c r="G39" s="76"/>
      <c r="H39" s="138" t="s">
        <v>90</v>
      </c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71"/>
    </row>
    <row r="40" spans="6:25" ht="36.75" customHeight="1">
      <c r="F40" s="71"/>
      <c r="G40" s="76"/>
      <c r="H40" s="138" t="s">
        <v>91</v>
      </c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71"/>
    </row>
    <row r="41" spans="6:25" ht="36.75" customHeight="1">
      <c r="F41" s="71"/>
      <c r="G41" s="76"/>
      <c r="H41" s="138" t="s">
        <v>92</v>
      </c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71"/>
    </row>
    <row r="42" spans="6:25"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</row>
    <row r="43" spans="6:25">
      <c r="F43" s="71"/>
      <c r="G43" s="71"/>
      <c r="H43" s="140"/>
      <c r="I43" s="141"/>
      <c r="J43" s="142"/>
      <c r="K43" s="71"/>
      <c r="L43" s="80" t="s">
        <v>114</v>
      </c>
      <c r="M43" s="72"/>
      <c r="N43" s="143" t="s">
        <v>115</v>
      </c>
      <c r="O43" s="144"/>
      <c r="P43" s="144"/>
      <c r="Q43" s="144"/>
      <c r="R43" s="145"/>
      <c r="S43" s="71"/>
      <c r="T43" s="143" t="s">
        <v>116</v>
      </c>
      <c r="U43" s="144"/>
      <c r="V43" s="144"/>
      <c r="W43" s="144"/>
      <c r="X43" s="145"/>
      <c r="Y43" s="71"/>
    </row>
    <row r="44" spans="6:25"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</row>
    <row r="45" spans="6:25">
      <c r="F45" s="71"/>
      <c r="G45" s="71"/>
      <c r="H45" s="81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83"/>
      <c r="Y45" s="71"/>
    </row>
    <row r="46" spans="6:25">
      <c r="F46" s="71"/>
      <c r="G46" s="71"/>
      <c r="H46" s="84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6"/>
      <c r="Y46" s="71"/>
    </row>
    <row r="47" spans="6:25">
      <c r="F47" s="71"/>
      <c r="G47" s="71"/>
      <c r="H47" s="84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6"/>
      <c r="Y47" s="71"/>
    </row>
    <row r="48" spans="6:25">
      <c r="F48" s="71"/>
      <c r="G48" s="71"/>
      <c r="H48" s="84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6"/>
      <c r="Y48" s="71"/>
    </row>
    <row r="49" spans="6:26">
      <c r="F49" s="71"/>
      <c r="G49" s="71"/>
      <c r="H49" s="84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6"/>
      <c r="Y49" s="71"/>
    </row>
    <row r="50" spans="6:26">
      <c r="F50" s="71"/>
      <c r="G50" s="71"/>
      <c r="H50" s="87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88"/>
      <c r="Y50" s="71"/>
    </row>
    <row r="51" spans="6:26"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</row>
    <row r="52" spans="6:26"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</row>
    <row r="53" spans="6:26">
      <c r="F53" s="71"/>
      <c r="G53" s="89" t="s">
        <v>117</v>
      </c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 t="s">
        <v>118</v>
      </c>
      <c r="W53" s="89"/>
      <c r="X53" s="89"/>
      <c r="Y53" s="89"/>
      <c r="Z53" s="90"/>
    </row>
    <row r="54" spans="6:26"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</row>
    <row r="58" spans="6:26"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</row>
    <row r="59" spans="6:26">
      <c r="G59" s="71"/>
      <c r="H59" s="71"/>
      <c r="I59" s="72" t="s">
        <v>248</v>
      </c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</row>
    <row r="60" spans="6:26"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</row>
    <row r="61" spans="6:26">
      <c r="G61" s="71"/>
      <c r="H61" s="71"/>
      <c r="I61" s="72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</row>
    <row r="62" spans="6:26" ht="18.75" customHeight="1"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</row>
    <row r="63" spans="6:26">
      <c r="G63" s="71"/>
      <c r="H63" s="71"/>
      <c r="I63" s="72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</row>
    <row r="64" spans="6:26" ht="18.75" customHeight="1"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</row>
    <row r="65" spans="5:26">
      <c r="G65" s="71"/>
      <c r="H65" s="71"/>
      <c r="I65" s="72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</row>
    <row r="66" spans="5:26" ht="18.75" customHeight="1"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</row>
    <row r="67" spans="5:26">
      <c r="G67" s="71"/>
      <c r="H67" s="71"/>
      <c r="I67" s="72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</row>
    <row r="68" spans="5:26"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</row>
    <row r="69" spans="5:26"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</row>
    <row r="70" spans="5:26"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</row>
    <row r="74" spans="5:26">
      <c r="G74" s="136" t="s">
        <v>257</v>
      </c>
      <c r="J74" s="137" t="s">
        <v>259</v>
      </c>
    </row>
    <row r="75" spans="5:26">
      <c r="G75" s="133" t="s">
        <v>258</v>
      </c>
    </row>
    <row r="77" spans="5:26">
      <c r="E77" s="133" t="s">
        <v>249</v>
      </c>
    </row>
    <row r="78" spans="5:26">
      <c r="E78" s="133" t="s">
        <v>250</v>
      </c>
    </row>
    <row r="79" spans="5:26">
      <c r="E79" s="134" t="s">
        <v>251</v>
      </c>
    </row>
    <row r="80" spans="5:26">
      <c r="E80" t="s">
        <v>252</v>
      </c>
    </row>
    <row r="81" spans="2:5">
      <c r="E81" s="133" t="s">
        <v>249</v>
      </c>
    </row>
    <row r="82" spans="2:5">
      <c r="E82" s="133" t="s">
        <v>253</v>
      </c>
    </row>
    <row r="83" spans="2:5">
      <c r="E83" s="135" t="s">
        <v>254</v>
      </c>
    </row>
    <row r="84" spans="2:5">
      <c r="B84" t="s">
        <v>256</v>
      </c>
      <c r="E84" s="133" t="s">
        <v>255</v>
      </c>
    </row>
    <row r="86" spans="2:5">
      <c r="E86" t="s">
        <v>260</v>
      </c>
    </row>
    <row r="87" spans="2:5">
      <c r="E87" s="133" t="s">
        <v>268</v>
      </c>
    </row>
    <row r="88" spans="2:5">
      <c r="E88" t="s">
        <v>261</v>
      </c>
    </row>
    <row r="90" spans="2:5">
      <c r="E90" t="s">
        <v>262</v>
      </c>
    </row>
    <row r="91" spans="2:5">
      <c r="E91" t="s">
        <v>263</v>
      </c>
    </row>
    <row r="93" spans="2:5">
      <c r="E93" t="s">
        <v>264</v>
      </c>
    </row>
    <row r="94" spans="2:5">
      <c r="E94" t="s">
        <v>265</v>
      </c>
    </row>
    <row r="96" spans="2:5">
      <c r="E96" t="s">
        <v>266</v>
      </c>
    </row>
    <row r="97" spans="5:5">
      <c r="E97" t="s">
        <v>267</v>
      </c>
    </row>
    <row r="99" spans="5:5">
      <c r="E99" t="e">
        <f>--■カラム追加</f>
        <v>#NAME?</v>
      </c>
    </row>
    <row r="100" spans="5:5">
      <c r="E100" t="s">
        <v>273</v>
      </c>
    </row>
    <row r="101" spans="5:5">
      <c r="E101" t="e">
        <f>--■カラム属性更新</f>
        <v>#NAME?</v>
      </c>
    </row>
    <row r="102" spans="5:5">
      <c r="E102" t="s">
        <v>274</v>
      </c>
    </row>
    <row r="103" spans="5:5">
      <c r="E103" t="e">
        <f>--■カラム名前変更</f>
        <v>#NAME?</v>
      </c>
    </row>
    <row r="104" spans="5:5">
      <c r="E104" t="s">
        <v>275</v>
      </c>
    </row>
    <row r="105" spans="5:5">
      <c r="E105" t="e">
        <f>--■カラム削除</f>
        <v>#NAME?</v>
      </c>
    </row>
    <row r="106" spans="5:5">
      <c r="E106" t="s">
        <v>276</v>
      </c>
    </row>
  </sheetData>
  <mergeCells count="11">
    <mergeCell ref="H40:X40"/>
    <mergeCell ref="H41:X41"/>
    <mergeCell ref="H43:J43"/>
    <mergeCell ref="N43:R43"/>
    <mergeCell ref="T43:X43"/>
    <mergeCell ref="H39:X39"/>
    <mergeCell ref="H23:X23"/>
    <mergeCell ref="H25:X25"/>
    <mergeCell ref="H27:X27"/>
    <mergeCell ref="H37:X37"/>
    <mergeCell ref="H38:X38"/>
  </mergeCells>
  <phoneticPr fontId="4"/>
  <hyperlinks>
    <hyperlink ref="E77" r:id="rId1" xr:uid="{3B09E263-675B-49D5-B17B-34636D55C45F}"/>
    <hyperlink ref="E78" r:id="rId2" xr:uid="{2E917D81-9BA8-43D7-BA43-17C857938BB4}"/>
    <hyperlink ref="E79" r:id="rId3" xr:uid="{FC2E200C-E440-4520-BE84-57F64650955F}"/>
    <hyperlink ref="E81" r:id="rId4" xr:uid="{71E1B905-C772-4307-8FA4-A4AFE57126F7}"/>
    <hyperlink ref="E82" r:id="rId5" xr:uid="{B2EBB1FC-AA31-4776-826E-5C6AF7D530A9}"/>
    <hyperlink ref="E83" r:id="rId6" xr:uid="{08B6E24B-364C-46FF-A8CF-3634050C4785}"/>
    <hyperlink ref="E84" r:id="rId7" xr:uid="{9FA2BF1F-3946-4D45-9565-DA07FF2AC535}"/>
    <hyperlink ref="G75" r:id="rId8" location="prettyPhoto[gallery1]/0/" xr:uid="{EF284692-6443-4647-A9DE-7B225DEAAF60}"/>
    <hyperlink ref="E87" r:id="rId9" xr:uid="{45F7028A-4355-4512-A8D4-CB43299D725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B5ABC-B630-4C73-B1FC-0F14F561B86A}">
  <sheetPr codeName="Sheet1"/>
  <dimension ref="A1"/>
  <sheetViews>
    <sheetView workbookViewId="0">
      <selection activeCell="K24" sqref="K24"/>
    </sheetView>
  </sheetViews>
  <sheetFormatPr defaultRowHeight="18.75"/>
  <sheetData/>
  <phoneticPr fontId="4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Sakusei">
          <controlPr defaultSize="0" autoLine="0" r:id="rId4">
            <anchor moveWithCells="1">
              <from>
                <xdr:col>3</xdr:col>
                <xdr:colOff>666750</xdr:colOff>
                <xdr:row>2</xdr:row>
                <xdr:rowOff>142875</xdr:rowOff>
              </from>
              <to>
                <xdr:col>5</xdr:col>
                <xdr:colOff>47625</xdr:colOff>
                <xdr:row>4</xdr:row>
                <xdr:rowOff>9525</xdr:rowOff>
              </to>
            </anchor>
          </controlPr>
        </control>
      </mc:Choice>
      <mc:Fallback>
        <control shapeId="1025" r:id="rId3" name="btnSakuse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20E44-F9BB-4FC9-8E3D-E9ACC4D0A343}">
  <sheetPr codeName="Sheet15"/>
  <dimension ref="A1:L24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B15" sqref="B15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20" t="s">
        <v>1</v>
      </c>
    </row>
    <row r="2" spans="1:12">
      <c r="B2" s="21" t="s">
        <v>2</v>
      </c>
      <c r="C2" s="22"/>
      <c r="D2" s="21" t="s">
        <v>3</v>
      </c>
      <c r="E2" s="22"/>
      <c r="F2" s="23"/>
      <c r="G2" s="24"/>
      <c r="H2" s="25" t="s">
        <v>4</v>
      </c>
      <c r="I2" s="25" t="s">
        <v>5</v>
      </c>
      <c r="J2" s="25" t="s">
        <v>6</v>
      </c>
    </row>
    <row r="3" spans="1:12" ht="18" customHeight="1">
      <c r="B3" s="26"/>
      <c r="C3" s="27"/>
      <c r="D3" s="28"/>
      <c r="E3" s="29"/>
      <c r="F3" s="30"/>
      <c r="G3" s="31"/>
      <c r="H3" s="32"/>
      <c r="I3" s="32"/>
      <c r="J3" s="32"/>
    </row>
    <row r="4" spans="1:12">
      <c r="B4" s="3" t="s">
        <v>21</v>
      </c>
      <c r="C4" s="3" t="s">
        <v>22</v>
      </c>
      <c r="D4" s="33" t="s">
        <v>7</v>
      </c>
      <c r="E4" s="34"/>
      <c r="F4" s="34"/>
      <c r="G4" s="24"/>
      <c r="H4" s="35"/>
      <c r="I4" s="32"/>
      <c r="J4" s="32"/>
    </row>
    <row r="5" spans="1:12" ht="18" customHeight="1">
      <c r="B5" s="36" t="s">
        <v>64</v>
      </c>
      <c r="C5" s="36" t="s">
        <v>134</v>
      </c>
      <c r="D5" s="37"/>
      <c r="E5" s="38"/>
      <c r="F5" s="39"/>
      <c r="G5" s="31"/>
      <c r="H5" s="40"/>
      <c r="I5" s="40"/>
      <c r="J5" s="40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2" ht="15" hidden="1" customHeight="1">
      <c r="A8" s="48">
        <v>1</v>
      </c>
      <c r="B8" s="49" t="s">
        <v>16</v>
      </c>
      <c r="C8" s="50" t="s">
        <v>17</v>
      </c>
      <c r="D8" s="49" t="s">
        <v>18</v>
      </c>
      <c r="E8" s="49">
        <v>11</v>
      </c>
      <c r="F8" s="49"/>
      <c r="G8" s="51" t="s">
        <v>19</v>
      </c>
      <c r="H8" s="51" t="s">
        <v>20</v>
      </c>
      <c r="I8" s="49"/>
      <c r="J8" s="52"/>
      <c r="K8" s="53"/>
      <c r="L8" s="41"/>
    </row>
    <row r="9" spans="1:12" s="13" customFormat="1" ht="24.95" customHeight="1">
      <c r="A9" s="14">
        <f>IF(B9="","",ROW()-8)</f>
        <v>1</v>
      </c>
      <c r="B9" s="92" t="s">
        <v>220</v>
      </c>
      <c r="C9" s="54" t="s">
        <v>119</v>
      </c>
      <c r="D9" s="55" t="s">
        <v>60</v>
      </c>
      <c r="E9" s="55">
        <v>60</v>
      </c>
      <c r="F9" s="55"/>
      <c r="G9" s="122" t="s">
        <v>94</v>
      </c>
      <c r="H9" s="10" t="s">
        <v>20</v>
      </c>
      <c r="I9" s="55"/>
      <c r="J9" s="55"/>
      <c r="K9" s="56" t="s">
        <v>57</v>
      </c>
      <c r="L9" s="12"/>
    </row>
    <row r="10" spans="1:12" s="13" customFormat="1" ht="24.95" customHeight="1">
      <c r="A10" s="14">
        <f>IF(B10="","",ROW()-8)</f>
        <v>2</v>
      </c>
      <c r="B10" s="115" t="s">
        <v>221</v>
      </c>
      <c r="C10" s="54" t="s">
        <v>120</v>
      </c>
      <c r="D10" s="55" t="s">
        <v>60</v>
      </c>
      <c r="E10" s="55">
        <v>60</v>
      </c>
      <c r="F10" s="55"/>
      <c r="G10" s="122" t="s">
        <v>94</v>
      </c>
      <c r="H10" s="10"/>
      <c r="I10" s="55"/>
      <c r="J10" s="55"/>
      <c r="K10" s="56">
        <v>123456</v>
      </c>
      <c r="L10" s="12"/>
    </row>
    <row r="11" spans="1:12" s="13" customFormat="1" ht="24.95" customHeight="1">
      <c r="A11" s="14">
        <f t="shared" ref="A11:A24" si="0">IF(B11="","",ROW()-8)</f>
        <v>3</v>
      </c>
      <c r="B11" s="115" t="s">
        <v>222</v>
      </c>
      <c r="C11" s="54" t="s">
        <v>121</v>
      </c>
      <c r="D11" s="55" t="s">
        <v>60</v>
      </c>
      <c r="E11" s="55">
        <v>20</v>
      </c>
      <c r="F11" s="55"/>
      <c r="G11" s="122" t="s">
        <v>94</v>
      </c>
      <c r="H11" s="10"/>
      <c r="I11" s="55"/>
      <c r="J11" s="55"/>
      <c r="K11" s="56" t="s">
        <v>63</v>
      </c>
      <c r="L11" s="12"/>
    </row>
    <row r="12" spans="1:12" s="13" customFormat="1" ht="24.95" customHeight="1">
      <c r="A12" s="14">
        <f t="shared" si="0"/>
        <v>4</v>
      </c>
      <c r="B12" s="115" t="s">
        <v>223</v>
      </c>
      <c r="C12" s="54" t="s">
        <v>207</v>
      </c>
      <c r="D12" s="55" t="s">
        <v>61</v>
      </c>
      <c r="E12" s="55">
        <v>11</v>
      </c>
      <c r="F12" s="55"/>
      <c r="G12" s="122" t="s">
        <v>93</v>
      </c>
      <c r="H12" s="10"/>
      <c r="I12" s="55"/>
      <c r="J12" s="55"/>
      <c r="K12" s="57" t="s">
        <v>58</v>
      </c>
      <c r="L12" s="12"/>
    </row>
    <row r="13" spans="1:12" s="13" customFormat="1" ht="24.95" customHeight="1">
      <c r="A13" s="14">
        <f t="shared" si="0"/>
        <v>5</v>
      </c>
      <c r="B13" s="115" t="s">
        <v>224</v>
      </c>
      <c r="C13" s="54" t="s">
        <v>122</v>
      </c>
      <c r="D13" s="55" t="s">
        <v>60</v>
      </c>
      <c r="E13" s="55">
        <v>60</v>
      </c>
      <c r="F13" s="55"/>
      <c r="G13" s="122" t="s">
        <v>94</v>
      </c>
      <c r="H13" s="10"/>
      <c r="I13" s="55"/>
      <c r="J13" s="55"/>
      <c r="K13" s="58" t="s">
        <v>59</v>
      </c>
      <c r="L13" s="12"/>
    </row>
    <row r="14" spans="1:12" s="13" customFormat="1" ht="24.95" customHeight="1">
      <c r="A14" s="14">
        <f t="shared" si="0"/>
        <v>6</v>
      </c>
      <c r="B14" s="54" t="s">
        <v>225</v>
      </c>
      <c r="C14" s="54" t="s">
        <v>123</v>
      </c>
      <c r="D14" s="55" t="s">
        <v>61</v>
      </c>
      <c r="E14" s="55">
        <v>1</v>
      </c>
      <c r="F14" s="55"/>
      <c r="G14" s="122" t="s">
        <v>93</v>
      </c>
      <c r="H14" s="10"/>
      <c r="I14" s="55"/>
      <c r="J14" s="55"/>
      <c r="K14" s="56">
        <v>1</v>
      </c>
      <c r="L14" s="12"/>
    </row>
    <row r="15" spans="1:12" s="13" customFormat="1" ht="24.95" customHeight="1">
      <c r="A15" s="14">
        <f t="shared" si="0"/>
        <v>7</v>
      </c>
      <c r="B15" s="116" t="s">
        <v>228</v>
      </c>
      <c r="C15" s="54" t="s">
        <v>124</v>
      </c>
      <c r="D15" s="55" t="s">
        <v>60</v>
      </c>
      <c r="E15" s="55">
        <v>60</v>
      </c>
      <c r="F15" s="55"/>
      <c r="G15" s="122" t="s">
        <v>93</v>
      </c>
      <c r="H15" s="10"/>
      <c r="I15" s="55"/>
      <c r="J15" s="11"/>
      <c r="K15" s="56"/>
      <c r="L15" s="12"/>
    </row>
    <row r="16" spans="1:12" s="13" customFormat="1" ht="24.95" customHeight="1">
      <c r="A16" s="14">
        <f t="shared" si="0"/>
        <v>8</v>
      </c>
      <c r="B16" s="54" t="s">
        <v>226</v>
      </c>
      <c r="C16" s="54" t="s">
        <v>125</v>
      </c>
      <c r="D16" s="55" t="s">
        <v>61</v>
      </c>
      <c r="E16" s="55">
        <v>1</v>
      </c>
      <c r="F16" s="59"/>
      <c r="G16" s="122" t="s">
        <v>93</v>
      </c>
      <c r="H16" s="60"/>
      <c r="I16" s="59"/>
      <c r="J16" s="61"/>
      <c r="K16" s="56">
        <v>1</v>
      </c>
    </row>
    <row r="17" spans="1:12" s="13" customFormat="1" ht="24.95" customHeight="1">
      <c r="A17" s="14">
        <f t="shared" si="0"/>
        <v>9</v>
      </c>
      <c r="B17" s="91" t="s">
        <v>227</v>
      </c>
      <c r="C17" s="54" t="s">
        <v>126</v>
      </c>
      <c r="D17" s="55" t="s">
        <v>61</v>
      </c>
      <c r="E17" s="55">
        <v>1</v>
      </c>
      <c r="F17" s="59"/>
      <c r="G17" s="122" t="s">
        <v>93</v>
      </c>
      <c r="H17" s="60"/>
      <c r="I17" s="59"/>
      <c r="J17" s="61"/>
      <c r="K17" s="56">
        <v>1</v>
      </c>
    </row>
    <row r="18" spans="1:12" s="13" customFormat="1" ht="24.95" customHeight="1">
      <c r="A18" s="14">
        <f t="shared" si="0"/>
        <v>10</v>
      </c>
      <c r="B18" s="129" t="s">
        <v>242</v>
      </c>
      <c r="C18" s="54" t="s">
        <v>87</v>
      </c>
      <c r="D18" s="55" t="s">
        <v>269</v>
      </c>
      <c r="E18" s="59"/>
      <c r="F18" s="59"/>
      <c r="G18" s="122" t="s">
        <v>93</v>
      </c>
      <c r="H18" s="60"/>
      <c r="I18" s="59"/>
      <c r="J18" s="61"/>
      <c r="K18" s="62">
        <v>43651</v>
      </c>
    </row>
    <row r="19" spans="1:12" s="13" customFormat="1" ht="24.95" customHeight="1">
      <c r="A19" s="14">
        <f t="shared" si="0"/>
        <v>11</v>
      </c>
      <c r="B19" s="129" t="s">
        <v>241</v>
      </c>
      <c r="C19" s="54" t="s">
        <v>88</v>
      </c>
      <c r="D19" s="55" t="s">
        <v>269</v>
      </c>
      <c r="E19" s="55"/>
      <c r="F19" s="55"/>
      <c r="G19" s="122" t="s">
        <v>93</v>
      </c>
      <c r="H19" s="10"/>
      <c r="I19" s="55"/>
      <c r="J19" s="55"/>
      <c r="K19" s="62">
        <v>43651</v>
      </c>
      <c r="L19" s="12"/>
    </row>
    <row r="20" spans="1:12" s="13" customFormat="1" ht="24.95" customHeight="1">
      <c r="A20" s="14" t="str">
        <f t="shared" si="0"/>
        <v/>
      </c>
      <c r="B20" s="55"/>
      <c r="C20" s="9"/>
      <c r="D20" s="55"/>
      <c r="E20" s="55"/>
      <c r="F20" s="55"/>
      <c r="G20" s="10"/>
      <c r="H20" s="10"/>
      <c r="I20" s="10"/>
      <c r="J20" s="55"/>
      <c r="K20" s="63"/>
      <c r="L20" s="12"/>
    </row>
    <row r="21" spans="1:12" s="13" customFormat="1" ht="24.95" customHeight="1">
      <c r="A21" s="14" t="str">
        <f t="shared" si="0"/>
        <v/>
      </c>
      <c r="B21" s="55"/>
      <c r="C21" s="9"/>
      <c r="D21" s="55"/>
      <c r="E21" s="55"/>
      <c r="F21" s="55"/>
      <c r="G21" s="10"/>
      <c r="H21" s="10"/>
      <c r="I21" s="55"/>
      <c r="J21" s="55"/>
      <c r="K21" s="63"/>
      <c r="L21" s="12"/>
    </row>
    <row r="22" spans="1:12" s="13" customFormat="1" ht="24.95" customHeight="1">
      <c r="A22" s="14" t="str">
        <f t="shared" si="0"/>
        <v/>
      </c>
      <c r="B22" s="55"/>
      <c r="C22" s="9"/>
      <c r="D22" s="55"/>
      <c r="E22" s="55"/>
      <c r="F22" s="55"/>
      <c r="G22" s="10"/>
      <c r="H22" s="10"/>
      <c r="I22" s="55"/>
      <c r="J22" s="55"/>
      <c r="K22" s="63"/>
      <c r="L22" s="12"/>
    </row>
    <row r="23" spans="1:12" s="13" customFormat="1" ht="24.95" customHeight="1">
      <c r="A23" s="14" t="str">
        <f t="shared" si="0"/>
        <v/>
      </c>
      <c r="B23" s="55"/>
      <c r="C23" s="9"/>
      <c r="D23" s="55"/>
      <c r="E23" s="55"/>
      <c r="F23" s="55"/>
      <c r="G23" s="10"/>
      <c r="H23" s="10"/>
      <c r="I23" s="55"/>
      <c r="J23" s="55"/>
      <c r="K23" s="63"/>
      <c r="L23" s="12"/>
    </row>
    <row r="24" spans="1:12" s="13" customFormat="1" ht="24.95" customHeight="1">
      <c r="A24" s="14" t="str">
        <f t="shared" si="0"/>
        <v/>
      </c>
      <c r="B24" s="55"/>
      <c r="C24" s="9"/>
      <c r="D24" s="55"/>
      <c r="E24" s="55"/>
      <c r="F24" s="55"/>
      <c r="G24" s="10"/>
      <c r="H24" s="10"/>
      <c r="I24" s="55"/>
      <c r="J24" s="55"/>
      <c r="K24" s="63"/>
      <c r="L24" s="12"/>
    </row>
  </sheetData>
  <phoneticPr fontId="5"/>
  <hyperlinks>
    <hyperlink ref="J1" location="目次!A1" display="テーブル一覧へ" xr:uid="{90C29312-479F-4D0F-927F-622BD38AB12E}"/>
    <hyperlink ref="K13" r:id="rId1" xr:uid="{F2F5532E-1EF0-493F-8117-66D9EAB08FE2}"/>
  </hyperlinks>
  <pageMargins left="0.39370078740157483" right="0.39370078740157483" top="0.74803149606299213" bottom="0.39370078740157483" header="0.31496062992125984" footer="0.19685039370078741"/>
  <pageSetup paperSize="9" orientation="landscape" r:id="rId2"/>
  <headerFooter>
    <oddHeader>&amp;L&amp;9&amp;F&amp;R&amp;9&amp;A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9E295-A9B1-4116-8054-F57DD3F9E242}">
  <sheetPr codeName="Sheet16"/>
  <dimension ref="A1:L24"/>
  <sheetViews>
    <sheetView view="pageBreakPreview" zoomScaleNormal="100" zoomScaleSheetLayoutView="100" workbookViewId="0">
      <pane ySplit="7" topLeftCell="A11" activePane="bottomLeft" state="frozen"/>
      <selection activeCell="O18" sqref="O18"/>
      <selection pane="bottomLeft" activeCell="L11" sqref="L11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253" width="8.75" style="1"/>
    <col min="254" max="254" width="4.5" style="1" customWidth="1"/>
    <col min="255" max="255" width="22.625" style="1" customWidth="1"/>
    <col min="256" max="256" width="16.75" style="1" customWidth="1"/>
    <col min="257" max="257" width="10.25" style="1" customWidth="1"/>
    <col min="258" max="262" width="7.75" style="1" customWidth="1"/>
    <col min="263" max="263" width="28.75" style="1" customWidth="1"/>
    <col min="264" max="509" width="8.75" style="1"/>
    <col min="510" max="510" width="4.5" style="1" customWidth="1"/>
    <col min="511" max="511" width="22.625" style="1" customWidth="1"/>
    <col min="512" max="512" width="16.75" style="1" customWidth="1"/>
    <col min="513" max="513" width="10.25" style="1" customWidth="1"/>
    <col min="514" max="518" width="7.75" style="1" customWidth="1"/>
    <col min="519" max="519" width="28.75" style="1" customWidth="1"/>
    <col min="520" max="765" width="8.75" style="1"/>
    <col min="766" max="766" width="4.5" style="1" customWidth="1"/>
    <col min="767" max="767" width="22.625" style="1" customWidth="1"/>
    <col min="768" max="768" width="16.75" style="1" customWidth="1"/>
    <col min="769" max="769" width="10.25" style="1" customWidth="1"/>
    <col min="770" max="774" width="7.75" style="1" customWidth="1"/>
    <col min="775" max="775" width="28.75" style="1" customWidth="1"/>
    <col min="776" max="1021" width="8.75" style="1"/>
    <col min="1022" max="1022" width="4.5" style="1" customWidth="1"/>
    <col min="1023" max="1023" width="22.625" style="1" customWidth="1"/>
    <col min="1024" max="1024" width="16.75" style="1" customWidth="1"/>
    <col min="1025" max="1025" width="10.25" style="1" customWidth="1"/>
    <col min="1026" max="1030" width="7.75" style="1" customWidth="1"/>
    <col min="1031" max="1031" width="28.75" style="1" customWidth="1"/>
    <col min="1032" max="1277" width="8.75" style="1"/>
    <col min="1278" max="1278" width="4.5" style="1" customWidth="1"/>
    <col min="1279" max="1279" width="22.625" style="1" customWidth="1"/>
    <col min="1280" max="1280" width="16.75" style="1" customWidth="1"/>
    <col min="1281" max="1281" width="10.25" style="1" customWidth="1"/>
    <col min="1282" max="1286" width="7.75" style="1" customWidth="1"/>
    <col min="1287" max="1287" width="28.75" style="1" customWidth="1"/>
    <col min="1288" max="1533" width="8.75" style="1"/>
    <col min="1534" max="1534" width="4.5" style="1" customWidth="1"/>
    <col min="1535" max="1535" width="22.625" style="1" customWidth="1"/>
    <col min="1536" max="1536" width="16.75" style="1" customWidth="1"/>
    <col min="1537" max="1537" width="10.25" style="1" customWidth="1"/>
    <col min="1538" max="1542" width="7.75" style="1" customWidth="1"/>
    <col min="1543" max="1543" width="28.75" style="1" customWidth="1"/>
    <col min="1544" max="1789" width="8.75" style="1"/>
    <col min="1790" max="1790" width="4.5" style="1" customWidth="1"/>
    <col min="1791" max="1791" width="22.625" style="1" customWidth="1"/>
    <col min="1792" max="1792" width="16.75" style="1" customWidth="1"/>
    <col min="1793" max="1793" width="10.25" style="1" customWidth="1"/>
    <col min="1794" max="1798" width="7.75" style="1" customWidth="1"/>
    <col min="1799" max="1799" width="28.75" style="1" customWidth="1"/>
    <col min="1800" max="2045" width="8.75" style="1"/>
    <col min="2046" max="2046" width="4.5" style="1" customWidth="1"/>
    <col min="2047" max="2047" width="22.625" style="1" customWidth="1"/>
    <col min="2048" max="2048" width="16.75" style="1" customWidth="1"/>
    <col min="2049" max="2049" width="10.25" style="1" customWidth="1"/>
    <col min="2050" max="2054" width="7.75" style="1" customWidth="1"/>
    <col min="2055" max="2055" width="28.75" style="1" customWidth="1"/>
    <col min="2056" max="2301" width="8.75" style="1"/>
    <col min="2302" max="2302" width="4.5" style="1" customWidth="1"/>
    <col min="2303" max="2303" width="22.625" style="1" customWidth="1"/>
    <col min="2304" max="2304" width="16.75" style="1" customWidth="1"/>
    <col min="2305" max="2305" width="10.25" style="1" customWidth="1"/>
    <col min="2306" max="2310" width="7.75" style="1" customWidth="1"/>
    <col min="2311" max="2311" width="28.75" style="1" customWidth="1"/>
    <col min="2312" max="2557" width="8.75" style="1"/>
    <col min="2558" max="2558" width="4.5" style="1" customWidth="1"/>
    <col min="2559" max="2559" width="22.625" style="1" customWidth="1"/>
    <col min="2560" max="2560" width="16.75" style="1" customWidth="1"/>
    <col min="2561" max="2561" width="10.25" style="1" customWidth="1"/>
    <col min="2562" max="2566" width="7.75" style="1" customWidth="1"/>
    <col min="2567" max="2567" width="28.75" style="1" customWidth="1"/>
    <col min="2568" max="2813" width="8.75" style="1"/>
    <col min="2814" max="2814" width="4.5" style="1" customWidth="1"/>
    <col min="2815" max="2815" width="22.625" style="1" customWidth="1"/>
    <col min="2816" max="2816" width="16.75" style="1" customWidth="1"/>
    <col min="2817" max="2817" width="10.25" style="1" customWidth="1"/>
    <col min="2818" max="2822" width="7.75" style="1" customWidth="1"/>
    <col min="2823" max="2823" width="28.75" style="1" customWidth="1"/>
    <col min="2824" max="3069" width="8.75" style="1"/>
    <col min="3070" max="3070" width="4.5" style="1" customWidth="1"/>
    <col min="3071" max="3071" width="22.625" style="1" customWidth="1"/>
    <col min="3072" max="3072" width="16.75" style="1" customWidth="1"/>
    <col min="3073" max="3073" width="10.25" style="1" customWidth="1"/>
    <col min="3074" max="3078" width="7.75" style="1" customWidth="1"/>
    <col min="3079" max="3079" width="28.75" style="1" customWidth="1"/>
    <col min="3080" max="3325" width="8.75" style="1"/>
    <col min="3326" max="3326" width="4.5" style="1" customWidth="1"/>
    <col min="3327" max="3327" width="22.625" style="1" customWidth="1"/>
    <col min="3328" max="3328" width="16.75" style="1" customWidth="1"/>
    <col min="3329" max="3329" width="10.25" style="1" customWidth="1"/>
    <col min="3330" max="3334" width="7.75" style="1" customWidth="1"/>
    <col min="3335" max="3335" width="28.75" style="1" customWidth="1"/>
    <col min="3336" max="3581" width="8.75" style="1"/>
    <col min="3582" max="3582" width="4.5" style="1" customWidth="1"/>
    <col min="3583" max="3583" width="22.625" style="1" customWidth="1"/>
    <col min="3584" max="3584" width="16.75" style="1" customWidth="1"/>
    <col min="3585" max="3585" width="10.25" style="1" customWidth="1"/>
    <col min="3586" max="3590" width="7.75" style="1" customWidth="1"/>
    <col min="3591" max="3591" width="28.75" style="1" customWidth="1"/>
    <col min="3592" max="3837" width="8.75" style="1"/>
    <col min="3838" max="3838" width="4.5" style="1" customWidth="1"/>
    <col min="3839" max="3839" width="22.625" style="1" customWidth="1"/>
    <col min="3840" max="3840" width="16.75" style="1" customWidth="1"/>
    <col min="3841" max="3841" width="10.25" style="1" customWidth="1"/>
    <col min="3842" max="3846" width="7.75" style="1" customWidth="1"/>
    <col min="3847" max="3847" width="28.75" style="1" customWidth="1"/>
    <col min="3848" max="4093" width="8.75" style="1"/>
    <col min="4094" max="4094" width="4.5" style="1" customWidth="1"/>
    <col min="4095" max="4095" width="22.625" style="1" customWidth="1"/>
    <col min="4096" max="4096" width="16.75" style="1" customWidth="1"/>
    <col min="4097" max="4097" width="10.25" style="1" customWidth="1"/>
    <col min="4098" max="4102" width="7.75" style="1" customWidth="1"/>
    <col min="4103" max="4103" width="28.75" style="1" customWidth="1"/>
    <col min="4104" max="4349" width="8.75" style="1"/>
    <col min="4350" max="4350" width="4.5" style="1" customWidth="1"/>
    <col min="4351" max="4351" width="22.625" style="1" customWidth="1"/>
    <col min="4352" max="4352" width="16.75" style="1" customWidth="1"/>
    <col min="4353" max="4353" width="10.25" style="1" customWidth="1"/>
    <col min="4354" max="4358" width="7.75" style="1" customWidth="1"/>
    <col min="4359" max="4359" width="28.75" style="1" customWidth="1"/>
    <col min="4360" max="4605" width="8.75" style="1"/>
    <col min="4606" max="4606" width="4.5" style="1" customWidth="1"/>
    <col min="4607" max="4607" width="22.625" style="1" customWidth="1"/>
    <col min="4608" max="4608" width="16.75" style="1" customWidth="1"/>
    <col min="4609" max="4609" width="10.25" style="1" customWidth="1"/>
    <col min="4610" max="4614" width="7.75" style="1" customWidth="1"/>
    <col min="4615" max="4615" width="28.75" style="1" customWidth="1"/>
    <col min="4616" max="4861" width="8.75" style="1"/>
    <col min="4862" max="4862" width="4.5" style="1" customWidth="1"/>
    <col min="4863" max="4863" width="22.625" style="1" customWidth="1"/>
    <col min="4864" max="4864" width="16.75" style="1" customWidth="1"/>
    <col min="4865" max="4865" width="10.25" style="1" customWidth="1"/>
    <col min="4866" max="4870" width="7.75" style="1" customWidth="1"/>
    <col min="4871" max="4871" width="28.75" style="1" customWidth="1"/>
    <col min="4872" max="5117" width="8.75" style="1"/>
    <col min="5118" max="5118" width="4.5" style="1" customWidth="1"/>
    <col min="5119" max="5119" width="22.625" style="1" customWidth="1"/>
    <col min="5120" max="5120" width="16.75" style="1" customWidth="1"/>
    <col min="5121" max="5121" width="10.25" style="1" customWidth="1"/>
    <col min="5122" max="5126" width="7.75" style="1" customWidth="1"/>
    <col min="5127" max="5127" width="28.75" style="1" customWidth="1"/>
    <col min="5128" max="5373" width="8.75" style="1"/>
    <col min="5374" max="5374" width="4.5" style="1" customWidth="1"/>
    <col min="5375" max="5375" width="22.625" style="1" customWidth="1"/>
    <col min="5376" max="5376" width="16.75" style="1" customWidth="1"/>
    <col min="5377" max="5377" width="10.25" style="1" customWidth="1"/>
    <col min="5378" max="5382" width="7.75" style="1" customWidth="1"/>
    <col min="5383" max="5383" width="28.75" style="1" customWidth="1"/>
    <col min="5384" max="5629" width="8.75" style="1"/>
    <col min="5630" max="5630" width="4.5" style="1" customWidth="1"/>
    <col min="5631" max="5631" width="22.625" style="1" customWidth="1"/>
    <col min="5632" max="5632" width="16.75" style="1" customWidth="1"/>
    <col min="5633" max="5633" width="10.25" style="1" customWidth="1"/>
    <col min="5634" max="5638" width="7.75" style="1" customWidth="1"/>
    <col min="5639" max="5639" width="28.75" style="1" customWidth="1"/>
    <col min="5640" max="5885" width="8.75" style="1"/>
    <col min="5886" max="5886" width="4.5" style="1" customWidth="1"/>
    <col min="5887" max="5887" width="22.625" style="1" customWidth="1"/>
    <col min="5888" max="5888" width="16.75" style="1" customWidth="1"/>
    <col min="5889" max="5889" width="10.25" style="1" customWidth="1"/>
    <col min="5890" max="5894" width="7.75" style="1" customWidth="1"/>
    <col min="5895" max="5895" width="28.75" style="1" customWidth="1"/>
    <col min="5896" max="6141" width="8.75" style="1"/>
    <col min="6142" max="6142" width="4.5" style="1" customWidth="1"/>
    <col min="6143" max="6143" width="22.625" style="1" customWidth="1"/>
    <col min="6144" max="6144" width="16.75" style="1" customWidth="1"/>
    <col min="6145" max="6145" width="10.25" style="1" customWidth="1"/>
    <col min="6146" max="6150" width="7.75" style="1" customWidth="1"/>
    <col min="6151" max="6151" width="28.75" style="1" customWidth="1"/>
    <col min="6152" max="6397" width="8.75" style="1"/>
    <col min="6398" max="6398" width="4.5" style="1" customWidth="1"/>
    <col min="6399" max="6399" width="22.625" style="1" customWidth="1"/>
    <col min="6400" max="6400" width="16.75" style="1" customWidth="1"/>
    <col min="6401" max="6401" width="10.25" style="1" customWidth="1"/>
    <col min="6402" max="6406" width="7.75" style="1" customWidth="1"/>
    <col min="6407" max="6407" width="28.75" style="1" customWidth="1"/>
    <col min="6408" max="6653" width="8.75" style="1"/>
    <col min="6654" max="6654" width="4.5" style="1" customWidth="1"/>
    <col min="6655" max="6655" width="22.625" style="1" customWidth="1"/>
    <col min="6656" max="6656" width="16.75" style="1" customWidth="1"/>
    <col min="6657" max="6657" width="10.25" style="1" customWidth="1"/>
    <col min="6658" max="6662" width="7.75" style="1" customWidth="1"/>
    <col min="6663" max="6663" width="28.75" style="1" customWidth="1"/>
    <col min="6664" max="6909" width="8.75" style="1"/>
    <col min="6910" max="6910" width="4.5" style="1" customWidth="1"/>
    <col min="6911" max="6911" width="22.625" style="1" customWidth="1"/>
    <col min="6912" max="6912" width="16.75" style="1" customWidth="1"/>
    <col min="6913" max="6913" width="10.25" style="1" customWidth="1"/>
    <col min="6914" max="6918" width="7.75" style="1" customWidth="1"/>
    <col min="6919" max="6919" width="28.75" style="1" customWidth="1"/>
    <col min="6920" max="7165" width="8.75" style="1"/>
    <col min="7166" max="7166" width="4.5" style="1" customWidth="1"/>
    <col min="7167" max="7167" width="22.625" style="1" customWidth="1"/>
    <col min="7168" max="7168" width="16.75" style="1" customWidth="1"/>
    <col min="7169" max="7169" width="10.25" style="1" customWidth="1"/>
    <col min="7170" max="7174" width="7.75" style="1" customWidth="1"/>
    <col min="7175" max="7175" width="28.75" style="1" customWidth="1"/>
    <col min="7176" max="7421" width="8.75" style="1"/>
    <col min="7422" max="7422" width="4.5" style="1" customWidth="1"/>
    <col min="7423" max="7423" width="22.625" style="1" customWidth="1"/>
    <col min="7424" max="7424" width="16.75" style="1" customWidth="1"/>
    <col min="7425" max="7425" width="10.25" style="1" customWidth="1"/>
    <col min="7426" max="7430" width="7.75" style="1" customWidth="1"/>
    <col min="7431" max="7431" width="28.75" style="1" customWidth="1"/>
    <col min="7432" max="7677" width="8.75" style="1"/>
    <col min="7678" max="7678" width="4.5" style="1" customWidth="1"/>
    <col min="7679" max="7679" width="22.625" style="1" customWidth="1"/>
    <col min="7680" max="7680" width="16.75" style="1" customWidth="1"/>
    <col min="7681" max="7681" width="10.25" style="1" customWidth="1"/>
    <col min="7682" max="7686" width="7.75" style="1" customWidth="1"/>
    <col min="7687" max="7687" width="28.75" style="1" customWidth="1"/>
    <col min="7688" max="7933" width="8.75" style="1"/>
    <col min="7934" max="7934" width="4.5" style="1" customWidth="1"/>
    <col min="7935" max="7935" width="22.625" style="1" customWidth="1"/>
    <col min="7936" max="7936" width="16.75" style="1" customWidth="1"/>
    <col min="7937" max="7937" width="10.25" style="1" customWidth="1"/>
    <col min="7938" max="7942" width="7.75" style="1" customWidth="1"/>
    <col min="7943" max="7943" width="28.75" style="1" customWidth="1"/>
    <col min="7944" max="8189" width="8.75" style="1"/>
    <col min="8190" max="8190" width="4.5" style="1" customWidth="1"/>
    <col min="8191" max="8191" width="22.625" style="1" customWidth="1"/>
    <col min="8192" max="8192" width="16.75" style="1" customWidth="1"/>
    <col min="8193" max="8193" width="10.25" style="1" customWidth="1"/>
    <col min="8194" max="8198" width="7.75" style="1" customWidth="1"/>
    <col min="8199" max="8199" width="28.75" style="1" customWidth="1"/>
    <col min="8200" max="8445" width="8.75" style="1"/>
    <col min="8446" max="8446" width="4.5" style="1" customWidth="1"/>
    <col min="8447" max="8447" width="22.625" style="1" customWidth="1"/>
    <col min="8448" max="8448" width="16.75" style="1" customWidth="1"/>
    <col min="8449" max="8449" width="10.25" style="1" customWidth="1"/>
    <col min="8450" max="8454" width="7.75" style="1" customWidth="1"/>
    <col min="8455" max="8455" width="28.75" style="1" customWidth="1"/>
    <col min="8456" max="8701" width="8.75" style="1"/>
    <col min="8702" max="8702" width="4.5" style="1" customWidth="1"/>
    <col min="8703" max="8703" width="22.625" style="1" customWidth="1"/>
    <col min="8704" max="8704" width="16.75" style="1" customWidth="1"/>
    <col min="8705" max="8705" width="10.25" style="1" customWidth="1"/>
    <col min="8706" max="8710" width="7.75" style="1" customWidth="1"/>
    <col min="8711" max="8711" width="28.75" style="1" customWidth="1"/>
    <col min="8712" max="8957" width="8.75" style="1"/>
    <col min="8958" max="8958" width="4.5" style="1" customWidth="1"/>
    <col min="8959" max="8959" width="22.625" style="1" customWidth="1"/>
    <col min="8960" max="8960" width="16.75" style="1" customWidth="1"/>
    <col min="8961" max="8961" width="10.25" style="1" customWidth="1"/>
    <col min="8962" max="8966" width="7.75" style="1" customWidth="1"/>
    <col min="8967" max="8967" width="28.75" style="1" customWidth="1"/>
    <col min="8968" max="9213" width="8.75" style="1"/>
    <col min="9214" max="9214" width="4.5" style="1" customWidth="1"/>
    <col min="9215" max="9215" width="22.625" style="1" customWidth="1"/>
    <col min="9216" max="9216" width="16.75" style="1" customWidth="1"/>
    <col min="9217" max="9217" width="10.25" style="1" customWidth="1"/>
    <col min="9218" max="9222" width="7.75" style="1" customWidth="1"/>
    <col min="9223" max="9223" width="28.75" style="1" customWidth="1"/>
    <col min="9224" max="9469" width="8.75" style="1"/>
    <col min="9470" max="9470" width="4.5" style="1" customWidth="1"/>
    <col min="9471" max="9471" width="22.625" style="1" customWidth="1"/>
    <col min="9472" max="9472" width="16.75" style="1" customWidth="1"/>
    <col min="9473" max="9473" width="10.25" style="1" customWidth="1"/>
    <col min="9474" max="9478" width="7.75" style="1" customWidth="1"/>
    <col min="9479" max="9479" width="28.75" style="1" customWidth="1"/>
    <col min="9480" max="9725" width="8.75" style="1"/>
    <col min="9726" max="9726" width="4.5" style="1" customWidth="1"/>
    <col min="9727" max="9727" width="22.625" style="1" customWidth="1"/>
    <col min="9728" max="9728" width="16.75" style="1" customWidth="1"/>
    <col min="9729" max="9729" width="10.25" style="1" customWidth="1"/>
    <col min="9730" max="9734" width="7.75" style="1" customWidth="1"/>
    <col min="9735" max="9735" width="28.75" style="1" customWidth="1"/>
    <col min="9736" max="9981" width="8.75" style="1"/>
    <col min="9982" max="9982" width="4.5" style="1" customWidth="1"/>
    <col min="9983" max="9983" width="22.625" style="1" customWidth="1"/>
    <col min="9984" max="9984" width="16.75" style="1" customWidth="1"/>
    <col min="9985" max="9985" width="10.25" style="1" customWidth="1"/>
    <col min="9986" max="9990" width="7.75" style="1" customWidth="1"/>
    <col min="9991" max="9991" width="28.75" style="1" customWidth="1"/>
    <col min="9992" max="10237" width="8.75" style="1"/>
    <col min="10238" max="10238" width="4.5" style="1" customWidth="1"/>
    <col min="10239" max="10239" width="22.625" style="1" customWidth="1"/>
    <col min="10240" max="10240" width="16.75" style="1" customWidth="1"/>
    <col min="10241" max="10241" width="10.25" style="1" customWidth="1"/>
    <col min="10242" max="10246" width="7.75" style="1" customWidth="1"/>
    <col min="10247" max="10247" width="28.75" style="1" customWidth="1"/>
    <col min="10248" max="10493" width="8.75" style="1"/>
    <col min="10494" max="10494" width="4.5" style="1" customWidth="1"/>
    <col min="10495" max="10495" width="22.625" style="1" customWidth="1"/>
    <col min="10496" max="10496" width="16.75" style="1" customWidth="1"/>
    <col min="10497" max="10497" width="10.25" style="1" customWidth="1"/>
    <col min="10498" max="10502" width="7.75" style="1" customWidth="1"/>
    <col min="10503" max="10503" width="28.75" style="1" customWidth="1"/>
    <col min="10504" max="10749" width="8.75" style="1"/>
    <col min="10750" max="10750" width="4.5" style="1" customWidth="1"/>
    <col min="10751" max="10751" width="22.625" style="1" customWidth="1"/>
    <col min="10752" max="10752" width="16.75" style="1" customWidth="1"/>
    <col min="10753" max="10753" width="10.25" style="1" customWidth="1"/>
    <col min="10754" max="10758" width="7.75" style="1" customWidth="1"/>
    <col min="10759" max="10759" width="28.75" style="1" customWidth="1"/>
    <col min="10760" max="11005" width="8.75" style="1"/>
    <col min="11006" max="11006" width="4.5" style="1" customWidth="1"/>
    <col min="11007" max="11007" width="22.625" style="1" customWidth="1"/>
    <col min="11008" max="11008" width="16.75" style="1" customWidth="1"/>
    <col min="11009" max="11009" width="10.25" style="1" customWidth="1"/>
    <col min="11010" max="11014" width="7.75" style="1" customWidth="1"/>
    <col min="11015" max="11015" width="28.75" style="1" customWidth="1"/>
    <col min="11016" max="11261" width="8.75" style="1"/>
    <col min="11262" max="11262" width="4.5" style="1" customWidth="1"/>
    <col min="11263" max="11263" width="22.625" style="1" customWidth="1"/>
    <col min="11264" max="11264" width="16.75" style="1" customWidth="1"/>
    <col min="11265" max="11265" width="10.25" style="1" customWidth="1"/>
    <col min="11266" max="11270" width="7.75" style="1" customWidth="1"/>
    <col min="11271" max="11271" width="28.75" style="1" customWidth="1"/>
    <col min="11272" max="11517" width="8.75" style="1"/>
    <col min="11518" max="11518" width="4.5" style="1" customWidth="1"/>
    <col min="11519" max="11519" width="22.625" style="1" customWidth="1"/>
    <col min="11520" max="11520" width="16.75" style="1" customWidth="1"/>
    <col min="11521" max="11521" width="10.25" style="1" customWidth="1"/>
    <col min="11522" max="11526" width="7.75" style="1" customWidth="1"/>
    <col min="11527" max="11527" width="28.75" style="1" customWidth="1"/>
    <col min="11528" max="11773" width="8.75" style="1"/>
    <col min="11774" max="11774" width="4.5" style="1" customWidth="1"/>
    <col min="11775" max="11775" width="22.625" style="1" customWidth="1"/>
    <col min="11776" max="11776" width="16.75" style="1" customWidth="1"/>
    <col min="11777" max="11777" width="10.25" style="1" customWidth="1"/>
    <col min="11778" max="11782" width="7.75" style="1" customWidth="1"/>
    <col min="11783" max="11783" width="28.75" style="1" customWidth="1"/>
    <col min="11784" max="12029" width="8.75" style="1"/>
    <col min="12030" max="12030" width="4.5" style="1" customWidth="1"/>
    <col min="12031" max="12031" width="22.625" style="1" customWidth="1"/>
    <col min="12032" max="12032" width="16.75" style="1" customWidth="1"/>
    <col min="12033" max="12033" width="10.25" style="1" customWidth="1"/>
    <col min="12034" max="12038" width="7.75" style="1" customWidth="1"/>
    <col min="12039" max="12039" width="28.75" style="1" customWidth="1"/>
    <col min="12040" max="12285" width="8.75" style="1"/>
    <col min="12286" max="12286" width="4.5" style="1" customWidth="1"/>
    <col min="12287" max="12287" width="22.625" style="1" customWidth="1"/>
    <col min="12288" max="12288" width="16.75" style="1" customWidth="1"/>
    <col min="12289" max="12289" width="10.25" style="1" customWidth="1"/>
    <col min="12290" max="12294" width="7.75" style="1" customWidth="1"/>
    <col min="12295" max="12295" width="28.75" style="1" customWidth="1"/>
    <col min="12296" max="12541" width="8.75" style="1"/>
    <col min="12542" max="12542" width="4.5" style="1" customWidth="1"/>
    <col min="12543" max="12543" width="22.625" style="1" customWidth="1"/>
    <col min="12544" max="12544" width="16.75" style="1" customWidth="1"/>
    <col min="12545" max="12545" width="10.25" style="1" customWidth="1"/>
    <col min="12546" max="12550" width="7.75" style="1" customWidth="1"/>
    <col min="12551" max="12551" width="28.75" style="1" customWidth="1"/>
    <col min="12552" max="12797" width="8.75" style="1"/>
    <col min="12798" max="12798" width="4.5" style="1" customWidth="1"/>
    <col min="12799" max="12799" width="22.625" style="1" customWidth="1"/>
    <col min="12800" max="12800" width="16.75" style="1" customWidth="1"/>
    <col min="12801" max="12801" width="10.25" style="1" customWidth="1"/>
    <col min="12802" max="12806" width="7.75" style="1" customWidth="1"/>
    <col min="12807" max="12807" width="28.75" style="1" customWidth="1"/>
    <col min="12808" max="13053" width="8.75" style="1"/>
    <col min="13054" max="13054" width="4.5" style="1" customWidth="1"/>
    <col min="13055" max="13055" width="22.625" style="1" customWidth="1"/>
    <col min="13056" max="13056" width="16.75" style="1" customWidth="1"/>
    <col min="13057" max="13057" width="10.25" style="1" customWidth="1"/>
    <col min="13058" max="13062" width="7.75" style="1" customWidth="1"/>
    <col min="13063" max="13063" width="28.75" style="1" customWidth="1"/>
    <col min="13064" max="13309" width="8.75" style="1"/>
    <col min="13310" max="13310" width="4.5" style="1" customWidth="1"/>
    <col min="13311" max="13311" width="22.625" style="1" customWidth="1"/>
    <col min="13312" max="13312" width="16.75" style="1" customWidth="1"/>
    <col min="13313" max="13313" width="10.25" style="1" customWidth="1"/>
    <col min="13314" max="13318" width="7.75" style="1" customWidth="1"/>
    <col min="13319" max="13319" width="28.75" style="1" customWidth="1"/>
    <col min="13320" max="13565" width="8.75" style="1"/>
    <col min="13566" max="13566" width="4.5" style="1" customWidth="1"/>
    <col min="13567" max="13567" width="22.625" style="1" customWidth="1"/>
    <col min="13568" max="13568" width="16.75" style="1" customWidth="1"/>
    <col min="13569" max="13569" width="10.25" style="1" customWidth="1"/>
    <col min="13570" max="13574" width="7.75" style="1" customWidth="1"/>
    <col min="13575" max="13575" width="28.75" style="1" customWidth="1"/>
    <col min="13576" max="13821" width="8.75" style="1"/>
    <col min="13822" max="13822" width="4.5" style="1" customWidth="1"/>
    <col min="13823" max="13823" width="22.625" style="1" customWidth="1"/>
    <col min="13824" max="13824" width="16.75" style="1" customWidth="1"/>
    <col min="13825" max="13825" width="10.25" style="1" customWidth="1"/>
    <col min="13826" max="13830" width="7.75" style="1" customWidth="1"/>
    <col min="13831" max="13831" width="28.75" style="1" customWidth="1"/>
    <col min="13832" max="14077" width="8.75" style="1"/>
    <col min="14078" max="14078" width="4.5" style="1" customWidth="1"/>
    <col min="14079" max="14079" width="22.625" style="1" customWidth="1"/>
    <col min="14080" max="14080" width="16.75" style="1" customWidth="1"/>
    <col min="14081" max="14081" width="10.25" style="1" customWidth="1"/>
    <col min="14082" max="14086" width="7.75" style="1" customWidth="1"/>
    <col min="14087" max="14087" width="28.75" style="1" customWidth="1"/>
    <col min="14088" max="14333" width="8.75" style="1"/>
    <col min="14334" max="14334" width="4.5" style="1" customWidth="1"/>
    <col min="14335" max="14335" width="22.625" style="1" customWidth="1"/>
    <col min="14336" max="14336" width="16.75" style="1" customWidth="1"/>
    <col min="14337" max="14337" width="10.25" style="1" customWidth="1"/>
    <col min="14338" max="14342" width="7.75" style="1" customWidth="1"/>
    <col min="14343" max="14343" width="28.75" style="1" customWidth="1"/>
    <col min="14344" max="14589" width="8.75" style="1"/>
    <col min="14590" max="14590" width="4.5" style="1" customWidth="1"/>
    <col min="14591" max="14591" width="22.625" style="1" customWidth="1"/>
    <col min="14592" max="14592" width="16.75" style="1" customWidth="1"/>
    <col min="14593" max="14593" width="10.25" style="1" customWidth="1"/>
    <col min="14594" max="14598" width="7.75" style="1" customWidth="1"/>
    <col min="14599" max="14599" width="28.75" style="1" customWidth="1"/>
    <col min="14600" max="14845" width="8.75" style="1"/>
    <col min="14846" max="14846" width="4.5" style="1" customWidth="1"/>
    <col min="14847" max="14847" width="22.625" style="1" customWidth="1"/>
    <col min="14848" max="14848" width="16.75" style="1" customWidth="1"/>
    <col min="14849" max="14849" width="10.25" style="1" customWidth="1"/>
    <col min="14850" max="14854" width="7.75" style="1" customWidth="1"/>
    <col min="14855" max="14855" width="28.75" style="1" customWidth="1"/>
    <col min="14856" max="15101" width="8.75" style="1"/>
    <col min="15102" max="15102" width="4.5" style="1" customWidth="1"/>
    <col min="15103" max="15103" width="22.625" style="1" customWidth="1"/>
    <col min="15104" max="15104" width="16.75" style="1" customWidth="1"/>
    <col min="15105" max="15105" width="10.25" style="1" customWidth="1"/>
    <col min="15106" max="15110" width="7.75" style="1" customWidth="1"/>
    <col min="15111" max="15111" width="28.75" style="1" customWidth="1"/>
    <col min="15112" max="15357" width="8.75" style="1"/>
    <col min="15358" max="15358" width="4.5" style="1" customWidth="1"/>
    <col min="15359" max="15359" width="22.625" style="1" customWidth="1"/>
    <col min="15360" max="15360" width="16.75" style="1" customWidth="1"/>
    <col min="15361" max="15361" width="10.25" style="1" customWidth="1"/>
    <col min="15362" max="15366" width="7.75" style="1" customWidth="1"/>
    <col min="15367" max="15367" width="28.75" style="1" customWidth="1"/>
    <col min="15368" max="15613" width="8.75" style="1"/>
    <col min="15614" max="15614" width="4.5" style="1" customWidth="1"/>
    <col min="15615" max="15615" width="22.625" style="1" customWidth="1"/>
    <col min="15616" max="15616" width="16.75" style="1" customWidth="1"/>
    <col min="15617" max="15617" width="10.25" style="1" customWidth="1"/>
    <col min="15618" max="15622" width="7.75" style="1" customWidth="1"/>
    <col min="15623" max="15623" width="28.75" style="1" customWidth="1"/>
    <col min="15624" max="15869" width="8.75" style="1"/>
    <col min="15870" max="15870" width="4.5" style="1" customWidth="1"/>
    <col min="15871" max="15871" width="22.625" style="1" customWidth="1"/>
    <col min="15872" max="15872" width="16.75" style="1" customWidth="1"/>
    <col min="15873" max="15873" width="10.25" style="1" customWidth="1"/>
    <col min="15874" max="15878" width="7.75" style="1" customWidth="1"/>
    <col min="15879" max="15879" width="28.75" style="1" customWidth="1"/>
    <col min="15880" max="16125" width="8.75" style="1"/>
    <col min="16126" max="16126" width="4.5" style="1" customWidth="1"/>
    <col min="16127" max="16127" width="22.625" style="1" customWidth="1"/>
    <col min="16128" max="16128" width="16.75" style="1" customWidth="1"/>
    <col min="16129" max="16129" width="10.25" style="1" customWidth="1"/>
    <col min="16130" max="16134" width="7.75" style="1" customWidth="1"/>
    <col min="16135" max="16135" width="28.75" style="1" customWidth="1"/>
    <col min="16136" max="16384" width="8.75" style="1"/>
  </cols>
  <sheetData>
    <row r="1" spans="1:12">
      <c r="A1" s="1" t="s">
        <v>0</v>
      </c>
      <c r="J1" s="20" t="s">
        <v>1</v>
      </c>
    </row>
    <row r="2" spans="1:12">
      <c r="B2" s="21" t="s">
        <v>2</v>
      </c>
      <c r="C2" s="22"/>
      <c r="D2" s="21" t="s">
        <v>3</v>
      </c>
      <c r="E2" s="22"/>
      <c r="F2" s="23"/>
      <c r="G2" s="24"/>
      <c r="H2" s="25" t="s">
        <v>4</v>
      </c>
      <c r="I2" s="25" t="s">
        <v>5</v>
      </c>
      <c r="J2" s="25" t="s">
        <v>6</v>
      </c>
    </row>
    <row r="3" spans="1:12" ht="18" customHeight="1">
      <c r="B3" s="26"/>
      <c r="C3" s="27"/>
      <c r="D3" s="28"/>
      <c r="E3" s="29"/>
      <c r="F3" s="30"/>
      <c r="G3" s="31"/>
      <c r="H3" s="32"/>
      <c r="I3" s="32"/>
      <c r="J3" s="32"/>
    </row>
    <row r="4" spans="1:12">
      <c r="B4" s="3" t="s">
        <v>21</v>
      </c>
      <c r="C4" s="3" t="s">
        <v>22</v>
      </c>
      <c r="D4" s="33" t="s">
        <v>7</v>
      </c>
      <c r="E4" s="34"/>
      <c r="F4" s="34"/>
      <c r="G4" s="24"/>
      <c r="H4" s="35"/>
      <c r="I4" s="32"/>
      <c r="J4" s="32"/>
    </row>
    <row r="5" spans="1:12" ht="18" customHeight="1">
      <c r="B5" s="36" t="s">
        <v>65</v>
      </c>
      <c r="C5" s="36" t="s">
        <v>135</v>
      </c>
      <c r="D5" s="37"/>
      <c r="E5" s="38"/>
      <c r="F5" s="39"/>
      <c r="G5" s="31"/>
      <c r="H5" s="40"/>
      <c r="I5" s="40"/>
      <c r="J5" s="40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2" ht="15" hidden="1" customHeight="1">
      <c r="A8" s="48">
        <v>1</v>
      </c>
      <c r="B8" s="49" t="s">
        <v>16</v>
      </c>
      <c r="C8" s="50" t="s">
        <v>17</v>
      </c>
      <c r="D8" s="49" t="s">
        <v>61</v>
      </c>
      <c r="E8" s="49">
        <v>11</v>
      </c>
      <c r="F8" s="49"/>
      <c r="G8" s="51" t="s">
        <v>19</v>
      </c>
      <c r="H8" s="51" t="s">
        <v>20</v>
      </c>
      <c r="I8" s="49"/>
      <c r="J8" s="52"/>
    </row>
    <row r="9" spans="1:12" s="13" customFormat="1" ht="24.95" customHeight="1">
      <c r="A9" s="14">
        <f>IF(B9="","",ROW()-8)</f>
        <v>1</v>
      </c>
      <c r="B9" s="123" t="s">
        <v>73</v>
      </c>
      <c r="C9" s="124" t="s">
        <v>76</v>
      </c>
      <c r="D9" s="123" t="s">
        <v>61</v>
      </c>
      <c r="E9" s="132">
        <v>1</v>
      </c>
      <c r="F9" s="55"/>
      <c r="G9" s="122" t="s">
        <v>94</v>
      </c>
      <c r="H9" s="10" t="s">
        <v>66</v>
      </c>
      <c r="I9" s="10"/>
      <c r="J9" s="55"/>
      <c r="L9" s="13" t="str">
        <f>"T1." &amp;C9 &amp; ","</f>
        <v>T1.nkbn,</v>
      </c>
    </row>
    <row r="10" spans="1:12" s="13" customFormat="1" ht="24.95" customHeight="1">
      <c r="A10" s="14">
        <f>IF(B10="","",ROW()-8)</f>
        <v>2</v>
      </c>
      <c r="B10" s="123" t="s">
        <v>229</v>
      </c>
      <c r="C10" s="124" t="s">
        <v>77</v>
      </c>
      <c r="D10" s="123" t="s">
        <v>61</v>
      </c>
      <c r="E10" s="132">
        <v>6</v>
      </c>
      <c r="F10" s="55"/>
      <c r="G10" s="122" t="s">
        <v>94</v>
      </c>
      <c r="H10" s="10" t="s">
        <v>66</v>
      </c>
      <c r="I10" s="10"/>
      <c r="J10" s="55"/>
      <c r="L10" s="13" t="str">
        <f t="shared" ref="L10:L22" si="0">"T1." &amp;C10 &amp; ","</f>
        <v>T1.yearmonth,</v>
      </c>
    </row>
    <row r="11" spans="1:12" s="13" customFormat="1" ht="54" customHeight="1">
      <c r="A11" s="14">
        <f>IF(B11="","",ROW()-8)</f>
        <v>3</v>
      </c>
      <c r="B11" s="125" t="s">
        <v>230</v>
      </c>
      <c r="C11" s="124" t="s">
        <v>243</v>
      </c>
      <c r="D11" s="123" t="s">
        <v>61</v>
      </c>
      <c r="E11" s="132">
        <v>1</v>
      </c>
      <c r="F11" s="55"/>
      <c r="G11" s="122" t="s">
        <v>93</v>
      </c>
      <c r="H11" s="10"/>
      <c r="I11" s="10"/>
      <c r="J11" s="114" t="s">
        <v>219</v>
      </c>
      <c r="L11" s="13" t="str">
        <f t="shared" si="0"/>
        <v>T1.problemkbn,</v>
      </c>
    </row>
    <row r="12" spans="1:12" s="13" customFormat="1" ht="24.95" customHeight="1">
      <c r="A12" s="14">
        <f t="shared" ref="A12:A24" si="1">IF(B12="","",ROW()-8)</f>
        <v>4</v>
      </c>
      <c r="B12" s="125" t="s">
        <v>231</v>
      </c>
      <c r="C12" s="124" t="s">
        <v>153</v>
      </c>
      <c r="D12" s="123" t="s">
        <v>60</v>
      </c>
      <c r="E12" s="132">
        <v>2</v>
      </c>
      <c r="F12" s="55"/>
      <c r="G12" s="122" t="s">
        <v>93</v>
      </c>
      <c r="H12" s="10"/>
      <c r="I12" s="10"/>
      <c r="J12" s="55"/>
      <c r="L12" s="13" t="str">
        <f t="shared" si="0"/>
        <v>T1.problemno,</v>
      </c>
    </row>
    <row r="13" spans="1:12" s="13" customFormat="1" ht="24.95" customHeight="1">
      <c r="A13" s="14">
        <f t="shared" si="1"/>
        <v>5</v>
      </c>
      <c r="B13" s="125" t="s">
        <v>233</v>
      </c>
      <c r="C13" s="126" t="s">
        <v>234</v>
      </c>
      <c r="D13" s="123" t="s">
        <v>61</v>
      </c>
      <c r="E13" s="132">
        <v>2</v>
      </c>
      <c r="F13" s="55"/>
      <c r="G13" s="70" t="s">
        <v>93</v>
      </c>
      <c r="H13" s="10"/>
      <c r="I13" s="10"/>
      <c r="J13" s="55"/>
      <c r="L13" s="13" t="str">
        <f t="shared" si="0"/>
        <v>T1.readid,</v>
      </c>
    </row>
    <row r="14" spans="1:12" s="13" customFormat="1" ht="24.95" customHeight="1">
      <c r="A14" s="14">
        <f t="shared" si="1"/>
        <v>6</v>
      </c>
      <c r="B14" s="127" t="s">
        <v>235</v>
      </c>
      <c r="C14" s="124" t="s">
        <v>78</v>
      </c>
      <c r="D14" s="123" t="s">
        <v>60</v>
      </c>
      <c r="E14" s="132">
        <v>3</v>
      </c>
      <c r="F14" s="55"/>
      <c r="G14" s="122" t="s">
        <v>94</v>
      </c>
      <c r="H14" s="10" t="s">
        <v>66</v>
      </c>
      <c r="I14" s="10"/>
      <c r="J14" s="55"/>
      <c r="L14" s="13" t="str">
        <f t="shared" si="0"/>
        <v>T1.questionno,</v>
      </c>
    </row>
    <row r="15" spans="1:12" s="13" customFormat="1" ht="24.95" customHeight="1">
      <c r="A15" s="14">
        <f t="shared" si="1"/>
        <v>7</v>
      </c>
      <c r="B15" s="128" t="s">
        <v>68</v>
      </c>
      <c r="C15" s="124" t="s">
        <v>79</v>
      </c>
      <c r="D15" s="123" t="s">
        <v>60</v>
      </c>
      <c r="E15" s="132">
        <v>200</v>
      </c>
      <c r="F15" s="55"/>
      <c r="G15" s="122" t="s">
        <v>93</v>
      </c>
      <c r="H15" s="10"/>
      <c r="I15" s="10"/>
      <c r="J15" s="55"/>
      <c r="L15" s="13" t="str">
        <f t="shared" si="0"/>
        <v>T1.questioncontent,</v>
      </c>
    </row>
    <row r="16" spans="1:12" s="13" customFormat="1" ht="24.95" customHeight="1">
      <c r="A16" s="14">
        <f t="shared" si="1"/>
        <v>8</v>
      </c>
      <c r="B16" s="127" t="s">
        <v>236</v>
      </c>
      <c r="C16" s="124" t="s">
        <v>80</v>
      </c>
      <c r="D16" s="123" t="s">
        <v>60</v>
      </c>
      <c r="E16" s="132">
        <v>100</v>
      </c>
      <c r="F16" s="55"/>
      <c r="G16" s="122" t="s">
        <v>93</v>
      </c>
      <c r="H16" s="10"/>
      <c r="I16" s="10"/>
      <c r="J16" s="55"/>
      <c r="L16" s="13" t="str">
        <f t="shared" si="0"/>
        <v>T1.choice1,</v>
      </c>
    </row>
    <row r="17" spans="1:12" s="13" customFormat="1" ht="24.95" customHeight="1">
      <c r="A17" s="14">
        <f t="shared" si="1"/>
        <v>9</v>
      </c>
      <c r="B17" s="127" t="s">
        <v>237</v>
      </c>
      <c r="C17" s="124" t="s">
        <v>81</v>
      </c>
      <c r="D17" s="123" t="s">
        <v>60</v>
      </c>
      <c r="E17" s="132">
        <v>100</v>
      </c>
      <c r="F17" s="55"/>
      <c r="G17" s="122" t="s">
        <v>93</v>
      </c>
      <c r="H17" s="10"/>
      <c r="I17" s="10"/>
      <c r="J17" s="55"/>
      <c r="L17" s="13" t="str">
        <f t="shared" si="0"/>
        <v>T1.choice2,</v>
      </c>
    </row>
    <row r="18" spans="1:12" s="13" customFormat="1" ht="24.95" customHeight="1">
      <c r="A18" s="14">
        <f t="shared" si="1"/>
        <v>10</v>
      </c>
      <c r="B18" s="127" t="s">
        <v>238</v>
      </c>
      <c r="C18" s="124" t="s">
        <v>82</v>
      </c>
      <c r="D18" s="123" t="s">
        <v>60</v>
      </c>
      <c r="E18" s="132">
        <v>100</v>
      </c>
      <c r="F18" s="55"/>
      <c r="G18" s="122" t="s">
        <v>93</v>
      </c>
      <c r="H18" s="10"/>
      <c r="I18" s="10"/>
      <c r="J18" s="55"/>
      <c r="L18" s="13" t="str">
        <f t="shared" si="0"/>
        <v>T1.choice3,</v>
      </c>
    </row>
    <row r="19" spans="1:12" s="13" customFormat="1" ht="24.95" customHeight="1">
      <c r="A19" s="14">
        <f t="shared" si="1"/>
        <v>11</v>
      </c>
      <c r="B19" s="127" t="s">
        <v>239</v>
      </c>
      <c r="C19" s="124" t="s">
        <v>83</v>
      </c>
      <c r="D19" s="123" t="s">
        <v>60</v>
      </c>
      <c r="E19" s="132">
        <v>100</v>
      </c>
      <c r="F19" s="55"/>
      <c r="G19" s="122" t="s">
        <v>93</v>
      </c>
      <c r="H19" s="10"/>
      <c r="I19" s="10"/>
      <c r="J19" s="55"/>
      <c r="L19" s="13" t="str">
        <f t="shared" si="0"/>
        <v>T1.choice4,</v>
      </c>
    </row>
    <row r="20" spans="1:12" s="13" customFormat="1" ht="24.95" customHeight="1">
      <c r="A20" s="14">
        <f t="shared" si="1"/>
        <v>12</v>
      </c>
      <c r="B20" s="127" t="s">
        <v>75</v>
      </c>
      <c r="C20" s="124" t="s">
        <v>84</v>
      </c>
      <c r="D20" s="123" t="s">
        <v>61</v>
      </c>
      <c r="E20" s="132">
        <v>1</v>
      </c>
      <c r="F20" s="55"/>
      <c r="G20" s="122" t="s">
        <v>93</v>
      </c>
      <c r="H20" s="10"/>
      <c r="I20" s="10"/>
      <c r="J20" s="55"/>
      <c r="L20" s="13" t="str">
        <f t="shared" si="0"/>
        <v>T1.correct,</v>
      </c>
    </row>
    <row r="21" spans="1:12" s="13" customFormat="1" ht="24.95" customHeight="1">
      <c r="A21" s="14">
        <f t="shared" si="1"/>
        <v>13</v>
      </c>
      <c r="B21" s="123" t="s">
        <v>69</v>
      </c>
      <c r="C21" s="124" t="s">
        <v>85</v>
      </c>
      <c r="D21" s="123" t="s">
        <v>60</v>
      </c>
      <c r="E21" s="132">
        <v>200</v>
      </c>
      <c r="F21" s="55"/>
      <c r="G21" s="122" t="s">
        <v>93</v>
      </c>
      <c r="H21" s="10"/>
      <c r="I21" s="10"/>
      <c r="J21" s="55"/>
      <c r="L21" s="13" t="str">
        <f t="shared" si="0"/>
        <v>T1.analysis,</v>
      </c>
    </row>
    <row r="22" spans="1:12" s="13" customFormat="1" ht="24.95" customHeight="1">
      <c r="A22" s="14">
        <f t="shared" si="1"/>
        <v>14</v>
      </c>
      <c r="B22" s="123" t="s">
        <v>240</v>
      </c>
      <c r="C22" s="124" t="s">
        <v>86</v>
      </c>
      <c r="D22" s="123" t="s">
        <v>67</v>
      </c>
      <c r="E22" s="132">
        <v>3</v>
      </c>
      <c r="F22" s="55"/>
      <c r="G22" s="122" t="s">
        <v>93</v>
      </c>
      <c r="H22" s="10"/>
      <c r="I22" s="10"/>
      <c r="J22" s="55"/>
      <c r="L22" s="13" t="str">
        <f t="shared" si="0"/>
        <v>T1.fraction,</v>
      </c>
    </row>
    <row r="23" spans="1:12" s="13" customFormat="1" ht="24.95" customHeight="1">
      <c r="A23" s="14">
        <f t="shared" si="1"/>
        <v>15</v>
      </c>
      <c r="B23" s="129" t="s">
        <v>242</v>
      </c>
      <c r="C23" s="130" t="s">
        <v>87</v>
      </c>
      <c r="D23" s="123" t="s">
        <v>269</v>
      </c>
      <c r="E23" s="132"/>
      <c r="F23" s="55"/>
      <c r="G23" s="122" t="s">
        <v>93</v>
      </c>
      <c r="H23" s="10"/>
      <c r="I23" s="10"/>
      <c r="J23" s="55"/>
    </row>
    <row r="24" spans="1:12" s="13" customFormat="1" ht="24.95" customHeight="1">
      <c r="A24" s="14">
        <f t="shared" si="1"/>
        <v>16</v>
      </c>
      <c r="B24" s="129" t="s">
        <v>241</v>
      </c>
      <c r="C24" s="130" t="s">
        <v>88</v>
      </c>
      <c r="D24" s="123" t="s">
        <v>269</v>
      </c>
      <c r="E24" s="132"/>
      <c r="F24" s="55"/>
      <c r="G24" s="122" t="s">
        <v>93</v>
      </c>
      <c r="H24" s="10"/>
      <c r="I24" s="10"/>
      <c r="J24" s="55"/>
    </row>
  </sheetData>
  <phoneticPr fontId="4"/>
  <hyperlinks>
    <hyperlink ref="J1" location="目次!A1" display="テーブル一覧へ" xr:uid="{7B7158E2-E376-4DD1-B074-8D1C832A1912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45BA3-104E-4AA9-9E97-9FD194D3BDE2}">
  <sheetPr codeName="Sheet19"/>
  <dimension ref="A1:J24"/>
  <sheetViews>
    <sheetView view="pageBreakPreview" zoomScaleNormal="100" zoomScaleSheetLayoutView="100" workbookViewId="0">
      <pane ySplit="7" topLeftCell="A9" activePane="bottomLeft" state="frozen"/>
      <selection activeCell="O18" sqref="O18"/>
      <selection pane="bottomLeft" activeCell="I11" sqref="I11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253" width="8.75" style="1"/>
    <col min="254" max="254" width="4.5" style="1" customWidth="1"/>
    <col min="255" max="255" width="22.625" style="1" customWidth="1"/>
    <col min="256" max="256" width="16.75" style="1" customWidth="1"/>
    <col min="257" max="257" width="10.25" style="1" customWidth="1"/>
    <col min="258" max="262" width="7.75" style="1" customWidth="1"/>
    <col min="263" max="263" width="28.75" style="1" customWidth="1"/>
    <col min="264" max="509" width="8.75" style="1"/>
    <col min="510" max="510" width="4.5" style="1" customWidth="1"/>
    <col min="511" max="511" width="22.625" style="1" customWidth="1"/>
    <col min="512" max="512" width="16.75" style="1" customWidth="1"/>
    <col min="513" max="513" width="10.25" style="1" customWidth="1"/>
    <col min="514" max="518" width="7.75" style="1" customWidth="1"/>
    <col min="519" max="519" width="28.75" style="1" customWidth="1"/>
    <col min="520" max="765" width="8.75" style="1"/>
    <col min="766" max="766" width="4.5" style="1" customWidth="1"/>
    <col min="767" max="767" width="22.625" style="1" customWidth="1"/>
    <col min="768" max="768" width="16.75" style="1" customWidth="1"/>
    <col min="769" max="769" width="10.25" style="1" customWidth="1"/>
    <col min="770" max="774" width="7.75" style="1" customWidth="1"/>
    <col min="775" max="775" width="28.75" style="1" customWidth="1"/>
    <col min="776" max="1021" width="8.75" style="1"/>
    <col min="1022" max="1022" width="4.5" style="1" customWidth="1"/>
    <col min="1023" max="1023" width="22.625" style="1" customWidth="1"/>
    <col min="1024" max="1024" width="16.75" style="1" customWidth="1"/>
    <col min="1025" max="1025" width="10.25" style="1" customWidth="1"/>
    <col min="1026" max="1030" width="7.75" style="1" customWidth="1"/>
    <col min="1031" max="1031" width="28.75" style="1" customWidth="1"/>
    <col min="1032" max="1277" width="8.75" style="1"/>
    <col min="1278" max="1278" width="4.5" style="1" customWidth="1"/>
    <col min="1279" max="1279" width="22.625" style="1" customWidth="1"/>
    <col min="1280" max="1280" width="16.75" style="1" customWidth="1"/>
    <col min="1281" max="1281" width="10.25" style="1" customWidth="1"/>
    <col min="1282" max="1286" width="7.75" style="1" customWidth="1"/>
    <col min="1287" max="1287" width="28.75" style="1" customWidth="1"/>
    <col min="1288" max="1533" width="8.75" style="1"/>
    <col min="1534" max="1534" width="4.5" style="1" customWidth="1"/>
    <col min="1535" max="1535" width="22.625" style="1" customWidth="1"/>
    <col min="1536" max="1536" width="16.75" style="1" customWidth="1"/>
    <col min="1537" max="1537" width="10.25" style="1" customWidth="1"/>
    <col min="1538" max="1542" width="7.75" style="1" customWidth="1"/>
    <col min="1543" max="1543" width="28.75" style="1" customWidth="1"/>
    <col min="1544" max="1789" width="8.75" style="1"/>
    <col min="1790" max="1790" width="4.5" style="1" customWidth="1"/>
    <col min="1791" max="1791" width="22.625" style="1" customWidth="1"/>
    <col min="1792" max="1792" width="16.75" style="1" customWidth="1"/>
    <col min="1793" max="1793" width="10.25" style="1" customWidth="1"/>
    <col min="1794" max="1798" width="7.75" style="1" customWidth="1"/>
    <col min="1799" max="1799" width="28.75" style="1" customWidth="1"/>
    <col min="1800" max="2045" width="8.75" style="1"/>
    <col min="2046" max="2046" width="4.5" style="1" customWidth="1"/>
    <col min="2047" max="2047" width="22.625" style="1" customWidth="1"/>
    <col min="2048" max="2048" width="16.75" style="1" customWidth="1"/>
    <col min="2049" max="2049" width="10.25" style="1" customWidth="1"/>
    <col min="2050" max="2054" width="7.75" style="1" customWidth="1"/>
    <col min="2055" max="2055" width="28.75" style="1" customWidth="1"/>
    <col min="2056" max="2301" width="8.75" style="1"/>
    <col min="2302" max="2302" width="4.5" style="1" customWidth="1"/>
    <col min="2303" max="2303" width="22.625" style="1" customWidth="1"/>
    <col min="2304" max="2304" width="16.75" style="1" customWidth="1"/>
    <col min="2305" max="2305" width="10.25" style="1" customWidth="1"/>
    <col min="2306" max="2310" width="7.75" style="1" customWidth="1"/>
    <col min="2311" max="2311" width="28.75" style="1" customWidth="1"/>
    <col min="2312" max="2557" width="8.75" style="1"/>
    <col min="2558" max="2558" width="4.5" style="1" customWidth="1"/>
    <col min="2559" max="2559" width="22.625" style="1" customWidth="1"/>
    <col min="2560" max="2560" width="16.75" style="1" customWidth="1"/>
    <col min="2561" max="2561" width="10.25" style="1" customWidth="1"/>
    <col min="2562" max="2566" width="7.75" style="1" customWidth="1"/>
    <col min="2567" max="2567" width="28.75" style="1" customWidth="1"/>
    <col min="2568" max="2813" width="8.75" style="1"/>
    <col min="2814" max="2814" width="4.5" style="1" customWidth="1"/>
    <col min="2815" max="2815" width="22.625" style="1" customWidth="1"/>
    <col min="2816" max="2816" width="16.75" style="1" customWidth="1"/>
    <col min="2817" max="2817" width="10.25" style="1" customWidth="1"/>
    <col min="2818" max="2822" width="7.75" style="1" customWidth="1"/>
    <col min="2823" max="2823" width="28.75" style="1" customWidth="1"/>
    <col min="2824" max="3069" width="8.75" style="1"/>
    <col min="3070" max="3070" width="4.5" style="1" customWidth="1"/>
    <col min="3071" max="3071" width="22.625" style="1" customWidth="1"/>
    <col min="3072" max="3072" width="16.75" style="1" customWidth="1"/>
    <col min="3073" max="3073" width="10.25" style="1" customWidth="1"/>
    <col min="3074" max="3078" width="7.75" style="1" customWidth="1"/>
    <col min="3079" max="3079" width="28.75" style="1" customWidth="1"/>
    <col min="3080" max="3325" width="8.75" style="1"/>
    <col min="3326" max="3326" width="4.5" style="1" customWidth="1"/>
    <col min="3327" max="3327" width="22.625" style="1" customWidth="1"/>
    <col min="3328" max="3328" width="16.75" style="1" customWidth="1"/>
    <col min="3329" max="3329" width="10.25" style="1" customWidth="1"/>
    <col min="3330" max="3334" width="7.75" style="1" customWidth="1"/>
    <col min="3335" max="3335" width="28.75" style="1" customWidth="1"/>
    <col min="3336" max="3581" width="8.75" style="1"/>
    <col min="3582" max="3582" width="4.5" style="1" customWidth="1"/>
    <col min="3583" max="3583" width="22.625" style="1" customWidth="1"/>
    <col min="3584" max="3584" width="16.75" style="1" customWidth="1"/>
    <col min="3585" max="3585" width="10.25" style="1" customWidth="1"/>
    <col min="3586" max="3590" width="7.75" style="1" customWidth="1"/>
    <col min="3591" max="3591" width="28.75" style="1" customWidth="1"/>
    <col min="3592" max="3837" width="8.75" style="1"/>
    <col min="3838" max="3838" width="4.5" style="1" customWidth="1"/>
    <col min="3839" max="3839" width="22.625" style="1" customWidth="1"/>
    <col min="3840" max="3840" width="16.75" style="1" customWidth="1"/>
    <col min="3841" max="3841" width="10.25" style="1" customWidth="1"/>
    <col min="3842" max="3846" width="7.75" style="1" customWidth="1"/>
    <col min="3847" max="3847" width="28.75" style="1" customWidth="1"/>
    <col min="3848" max="4093" width="8.75" style="1"/>
    <col min="4094" max="4094" width="4.5" style="1" customWidth="1"/>
    <col min="4095" max="4095" width="22.625" style="1" customWidth="1"/>
    <col min="4096" max="4096" width="16.75" style="1" customWidth="1"/>
    <col min="4097" max="4097" width="10.25" style="1" customWidth="1"/>
    <col min="4098" max="4102" width="7.75" style="1" customWidth="1"/>
    <col min="4103" max="4103" width="28.75" style="1" customWidth="1"/>
    <col min="4104" max="4349" width="8.75" style="1"/>
    <col min="4350" max="4350" width="4.5" style="1" customWidth="1"/>
    <col min="4351" max="4351" width="22.625" style="1" customWidth="1"/>
    <col min="4352" max="4352" width="16.75" style="1" customWidth="1"/>
    <col min="4353" max="4353" width="10.25" style="1" customWidth="1"/>
    <col min="4354" max="4358" width="7.75" style="1" customWidth="1"/>
    <col min="4359" max="4359" width="28.75" style="1" customWidth="1"/>
    <col min="4360" max="4605" width="8.75" style="1"/>
    <col min="4606" max="4606" width="4.5" style="1" customWidth="1"/>
    <col min="4607" max="4607" width="22.625" style="1" customWidth="1"/>
    <col min="4608" max="4608" width="16.75" style="1" customWidth="1"/>
    <col min="4609" max="4609" width="10.25" style="1" customWidth="1"/>
    <col min="4610" max="4614" width="7.75" style="1" customWidth="1"/>
    <col min="4615" max="4615" width="28.75" style="1" customWidth="1"/>
    <col min="4616" max="4861" width="8.75" style="1"/>
    <col min="4862" max="4862" width="4.5" style="1" customWidth="1"/>
    <col min="4863" max="4863" width="22.625" style="1" customWidth="1"/>
    <col min="4864" max="4864" width="16.75" style="1" customWidth="1"/>
    <col min="4865" max="4865" width="10.25" style="1" customWidth="1"/>
    <col min="4866" max="4870" width="7.75" style="1" customWidth="1"/>
    <col min="4871" max="4871" width="28.75" style="1" customWidth="1"/>
    <col min="4872" max="5117" width="8.75" style="1"/>
    <col min="5118" max="5118" width="4.5" style="1" customWidth="1"/>
    <col min="5119" max="5119" width="22.625" style="1" customWidth="1"/>
    <col min="5120" max="5120" width="16.75" style="1" customWidth="1"/>
    <col min="5121" max="5121" width="10.25" style="1" customWidth="1"/>
    <col min="5122" max="5126" width="7.75" style="1" customWidth="1"/>
    <col min="5127" max="5127" width="28.75" style="1" customWidth="1"/>
    <col min="5128" max="5373" width="8.75" style="1"/>
    <col min="5374" max="5374" width="4.5" style="1" customWidth="1"/>
    <col min="5375" max="5375" width="22.625" style="1" customWidth="1"/>
    <col min="5376" max="5376" width="16.75" style="1" customWidth="1"/>
    <col min="5377" max="5377" width="10.25" style="1" customWidth="1"/>
    <col min="5378" max="5382" width="7.75" style="1" customWidth="1"/>
    <col min="5383" max="5383" width="28.75" style="1" customWidth="1"/>
    <col min="5384" max="5629" width="8.75" style="1"/>
    <col min="5630" max="5630" width="4.5" style="1" customWidth="1"/>
    <col min="5631" max="5631" width="22.625" style="1" customWidth="1"/>
    <col min="5632" max="5632" width="16.75" style="1" customWidth="1"/>
    <col min="5633" max="5633" width="10.25" style="1" customWidth="1"/>
    <col min="5634" max="5638" width="7.75" style="1" customWidth="1"/>
    <col min="5639" max="5639" width="28.75" style="1" customWidth="1"/>
    <col min="5640" max="5885" width="8.75" style="1"/>
    <col min="5886" max="5886" width="4.5" style="1" customWidth="1"/>
    <col min="5887" max="5887" width="22.625" style="1" customWidth="1"/>
    <col min="5888" max="5888" width="16.75" style="1" customWidth="1"/>
    <col min="5889" max="5889" width="10.25" style="1" customWidth="1"/>
    <col min="5890" max="5894" width="7.75" style="1" customWidth="1"/>
    <col min="5895" max="5895" width="28.75" style="1" customWidth="1"/>
    <col min="5896" max="6141" width="8.75" style="1"/>
    <col min="6142" max="6142" width="4.5" style="1" customWidth="1"/>
    <col min="6143" max="6143" width="22.625" style="1" customWidth="1"/>
    <col min="6144" max="6144" width="16.75" style="1" customWidth="1"/>
    <col min="6145" max="6145" width="10.25" style="1" customWidth="1"/>
    <col min="6146" max="6150" width="7.75" style="1" customWidth="1"/>
    <col min="6151" max="6151" width="28.75" style="1" customWidth="1"/>
    <col min="6152" max="6397" width="8.75" style="1"/>
    <col min="6398" max="6398" width="4.5" style="1" customWidth="1"/>
    <col min="6399" max="6399" width="22.625" style="1" customWidth="1"/>
    <col min="6400" max="6400" width="16.75" style="1" customWidth="1"/>
    <col min="6401" max="6401" width="10.25" style="1" customWidth="1"/>
    <col min="6402" max="6406" width="7.75" style="1" customWidth="1"/>
    <col min="6407" max="6407" width="28.75" style="1" customWidth="1"/>
    <col min="6408" max="6653" width="8.75" style="1"/>
    <col min="6654" max="6654" width="4.5" style="1" customWidth="1"/>
    <col min="6655" max="6655" width="22.625" style="1" customWidth="1"/>
    <col min="6656" max="6656" width="16.75" style="1" customWidth="1"/>
    <col min="6657" max="6657" width="10.25" style="1" customWidth="1"/>
    <col min="6658" max="6662" width="7.75" style="1" customWidth="1"/>
    <col min="6663" max="6663" width="28.75" style="1" customWidth="1"/>
    <col min="6664" max="6909" width="8.75" style="1"/>
    <col min="6910" max="6910" width="4.5" style="1" customWidth="1"/>
    <col min="6911" max="6911" width="22.625" style="1" customWidth="1"/>
    <col min="6912" max="6912" width="16.75" style="1" customWidth="1"/>
    <col min="6913" max="6913" width="10.25" style="1" customWidth="1"/>
    <col min="6914" max="6918" width="7.75" style="1" customWidth="1"/>
    <col min="6919" max="6919" width="28.75" style="1" customWidth="1"/>
    <col min="6920" max="7165" width="8.75" style="1"/>
    <col min="7166" max="7166" width="4.5" style="1" customWidth="1"/>
    <col min="7167" max="7167" width="22.625" style="1" customWidth="1"/>
    <col min="7168" max="7168" width="16.75" style="1" customWidth="1"/>
    <col min="7169" max="7169" width="10.25" style="1" customWidth="1"/>
    <col min="7170" max="7174" width="7.75" style="1" customWidth="1"/>
    <col min="7175" max="7175" width="28.75" style="1" customWidth="1"/>
    <col min="7176" max="7421" width="8.75" style="1"/>
    <col min="7422" max="7422" width="4.5" style="1" customWidth="1"/>
    <col min="7423" max="7423" width="22.625" style="1" customWidth="1"/>
    <col min="7424" max="7424" width="16.75" style="1" customWidth="1"/>
    <col min="7425" max="7425" width="10.25" style="1" customWidth="1"/>
    <col min="7426" max="7430" width="7.75" style="1" customWidth="1"/>
    <col min="7431" max="7431" width="28.75" style="1" customWidth="1"/>
    <col min="7432" max="7677" width="8.75" style="1"/>
    <col min="7678" max="7678" width="4.5" style="1" customWidth="1"/>
    <col min="7679" max="7679" width="22.625" style="1" customWidth="1"/>
    <col min="7680" max="7680" width="16.75" style="1" customWidth="1"/>
    <col min="7681" max="7681" width="10.25" style="1" customWidth="1"/>
    <col min="7682" max="7686" width="7.75" style="1" customWidth="1"/>
    <col min="7687" max="7687" width="28.75" style="1" customWidth="1"/>
    <col min="7688" max="7933" width="8.75" style="1"/>
    <col min="7934" max="7934" width="4.5" style="1" customWidth="1"/>
    <col min="7935" max="7935" width="22.625" style="1" customWidth="1"/>
    <col min="7936" max="7936" width="16.75" style="1" customWidth="1"/>
    <col min="7937" max="7937" width="10.25" style="1" customWidth="1"/>
    <col min="7938" max="7942" width="7.75" style="1" customWidth="1"/>
    <col min="7943" max="7943" width="28.75" style="1" customWidth="1"/>
    <col min="7944" max="8189" width="8.75" style="1"/>
    <col min="8190" max="8190" width="4.5" style="1" customWidth="1"/>
    <col min="8191" max="8191" width="22.625" style="1" customWidth="1"/>
    <col min="8192" max="8192" width="16.75" style="1" customWidth="1"/>
    <col min="8193" max="8193" width="10.25" style="1" customWidth="1"/>
    <col min="8194" max="8198" width="7.75" style="1" customWidth="1"/>
    <col min="8199" max="8199" width="28.75" style="1" customWidth="1"/>
    <col min="8200" max="8445" width="8.75" style="1"/>
    <col min="8446" max="8446" width="4.5" style="1" customWidth="1"/>
    <col min="8447" max="8447" width="22.625" style="1" customWidth="1"/>
    <col min="8448" max="8448" width="16.75" style="1" customWidth="1"/>
    <col min="8449" max="8449" width="10.25" style="1" customWidth="1"/>
    <col min="8450" max="8454" width="7.75" style="1" customWidth="1"/>
    <col min="8455" max="8455" width="28.75" style="1" customWidth="1"/>
    <col min="8456" max="8701" width="8.75" style="1"/>
    <col min="8702" max="8702" width="4.5" style="1" customWidth="1"/>
    <col min="8703" max="8703" width="22.625" style="1" customWidth="1"/>
    <col min="8704" max="8704" width="16.75" style="1" customWidth="1"/>
    <col min="8705" max="8705" width="10.25" style="1" customWidth="1"/>
    <col min="8706" max="8710" width="7.75" style="1" customWidth="1"/>
    <col min="8711" max="8711" width="28.75" style="1" customWidth="1"/>
    <col min="8712" max="8957" width="8.75" style="1"/>
    <col min="8958" max="8958" width="4.5" style="1" customWidth="1"/>
    <col min="8959" max="8959" width="22.625" style="1" customWidth="1"/>
    <col min="8960" max="8960" width="16.75" style="1" customWidth="1"/>
    <col min="8961" max="8961" width="10.25" style="1" customWidth="1"/>
    <col min="8962" max="8966" width="7.75" style="1" customWidth="1"/>
    <col min="8967" max="8967" width="28.75" style="1" customWidth="1"/>
    <col min="8968" max="9213" width="8.75" style="1"/>
    <col min="9214" max="9214" width="4.5" style="1" customWidth="1"/>
    <col min="9215" max="9215" width="22.625" style="1" customWidth="1"/>
    <col min="9216" max="9216" width="16.75" style="1" customWidth="1"/>
    <col min="9217" max="9217" width="10.25" style="1" customWidth="1"/>
    <col min="9218" max="9222" width="7.75" style="1" customWidth="1"/>
    <col min="9223" max="9223" width="28.75" style="1" customWidth="1"/>
    <col min="9224" max="9469" width="8.75" style="1"/>
    <col min="9470" max="9470" width="4.5" style="1" customWidth="1"/>
    <col min="9471" max="9471" width="22.625" style="1" customWidth="1"/>
    <col min="9472" max="9472" width="16.75" style="1" customWidth="1"/>
    <col min="9473" max="9473" width="10.25" style="1" customWidth="1"/>
    <col min="9474" max="9478" width="7.75" style="1" customWidth="1"/>
    <col min="9479" max="9479" width="28.75" style="1" customWidth="1"/>
    <col min="9480" max="9725" width="8.75" style="1"/>
    <col min="9726" max="9726" width="4.5" style="1" customWidth="1"/>
    <col min="9727" max="9727" width="22.625" style="1" customWidth="1"/>
    <col min="9728" max="9728" width="16.75" style="1" customWidth="1"/>
    <col min="9729" max="9729" width="10.25" style="1" customWidth="1"/>
    <col min="9730" max="9734" width="7.75" style="1" customWidth="1"/>
    <col min="9735" max="9735" width="28.75" style="1" customWidth="1"/>
    <col min="9736" max="9981" width="8.75" style="1"/>
    <col min="9982" max="9982" width="4.5" style="1" customWidth="1"/>
    <col min="9983" max="9983" width="22.625" style="1" customWidth="1"/>
    <col min="9984" max="9984" width="16.75" style="1" customWidth="1"/>
    <col min="9985" max="9985" width="10.25" style="1" customWidth="1"/>
    <col min="9986" max="9990" width="7.75" style="1" customWidth="1"/>
    <col min="9991" max="9991" width="28.75" style="1" customWidth="1"/>
    <col min="9992" max="10237" width="8.75" style="1"/>
    <col min="10238" max="10238" width="4.5" style="1" customWidth="1"/>
    <col min="10239" max="10239" width="22.625" style="1" customWidth="1"/>
    <col min="10240" max="10240" width="16.75" style="1" customWidth="1"/>
    <col min="10241" max="10241" width="10.25" style="1" customWidth="1"/>
    <col min="10242" max="10246" width="7.75" style="1" customWidth="1"/>
    <col min="10247" max="10247" width="28.75" style="1" customWidth="1"/>
    <col min="10248" max="10493" width="8.75" style="1"/>
    <col min="10494" max="10494" width="4.5" style="1" customWidth="1"/>
    <col min="10495" max="10495" width="22.625" style="1" customWidth="1"/>
    <col min="10496" max="10496" width="16.75" style="1" customWidth="1"/>
    <col min="10497" max="10497" width="10.25" style="1" customWidth="1"/>
    <col min="10498" max="10502" width="7.75" style="1" customWidth="1"/>
    <col min="10503" max="10503" width="28.75" style="1" customWidth="1"/>
    <col min="10504" max="10749" width="8.75" style="1"/>
    <col min="10750" max="10750" width="4.5" style="1" customWidth="1"/>
    <col min="10751" max="10751" width="22.625" style="1" customWidth="1"/>
    <col min="10752" max="10752" width="16.75" style="1" customWidth="1"/>
    <col min="10753" max="10753" width="10.25" style="1" customWidth="1"/>
    <col min="10754" max="10758" width="7.75" style="1" customWidth="1"/>
    <col min="10759" max="10759" width="28.75" style="1" customWidth="1"/>
    <col min="10760" max="11005" width="8.75" style="1"/>
    <col min="11006" max="11006" width="4.5" style="1" customWidth="1"/>
    <col min="11007" max="11007" width="22.625" style="1" customWidth="1"/>
    <col min="11008" max="11008" width="16.75" style="1" customWidth="1"/>
    <col min="11009" max="11009" width="10.25" style="1" customWidth="1"/>
    <col min="11010" max="11014" width="7.75" style="1" customWidth="1"/>
    <col min="11015" max="11015" width="28.75" style="1" customWidth="1"/>
    <col min="11016" max="11261" width="8.75" style="1"/>
    <col min="11262" max="11262" width="4.5" style="1" customWidth="1"/>
    <col min="11263" max="11263" width="22.625" style="1" customWidth="1"/>
    <col min="11264" max="11264" width="16.75" style="1" customWidth="1"/>
    <col min="11265" max="11265" width="10.25" style="1" customWidth="1"/>
    <col min="11266" max="11270" width="7.75" style="1" customWidth="1"/>
    <col min="11271" max="11271" width="28.75" style="1" customWidth="1"/>
    <col min="11272" max="11517" width="8.75" style="1"/>
    <col min="11518" max="11518" width="4.5" style="1" customWidth="1"/>
    <col min="11519" max="11519" width="22.625" style="1" customWidth="1"/>
    <col min="11520" max="11520" width="16.75" style="1" customWidth="1"/>
    <col min="11521" max="11521" width="10.25" style="1" customWidth="1"/>
    <col min="11522" max="11526" width="7.75" style="1" customWidth="1"/>
    <col min="11527" max="11527" width="28.75" style="1" customWidth="1"/>
    <col min="11528" max="11773" width="8.75" style="1"/>
    <col min="11774" max="11774" width="4.5" style="1" customWidth="1"/>
    <col min="11775" max="11775" width="22.625" style="1" customWidth="1"/>
    <col min="11776" max="11776" width="16.75" style="1" customWidth="1"/>
    <col min="11777" max="11777" width="10.25" style="1" customWidth="1"/>
    <col min="11778" max="11782" width="7.75" style="1" customWidth="1"/>
    <col min="11783" max="11783" width="28.75" style="1" customWidth="1"/>
    <col min="11784" max="12029" width="8.75" style="1"/>
    <col min="12030" max="12030" width="4.5" style="1" customWidth="1"/>
    <col min="12031" max="12031" width="22.625" style="1" customWidth="1"/>
    <col min="12032" max="12032" width="16.75" style="1" customWidth="1"/>
    <col min="12033" max="12033" width="10.25" style="1" customWidth="1"/>
    <col min="12034" max="12038" width="7.75" style="1" customWidth="1"/>
    <col min="12039" max="12039" width="28.75" style="1" customWidth="1"/>
    <col min="12040" max="12285" width="8.75" style="1"/>
    <col min="12286" max="12286" width="4.5" style="1" customWidth="1"/>
    <col min="12287" max="12287" width="22.625" style="1" customWidth="1"/>
    <col min="12288" max="12288" width="16.75" style="1" customWidth="1"/>
    <col min="12289" max="12289" width="10.25" style="1" customWidth="1"/>
    <col min="12290" max="12294" width="7.75" style="1" customWidth="1"/>
    <col min="12295" max="12295" width="28.75" style="1" customWidth="1"/>
    <col min="12296" max="12541" width="8.75" style="1"/>
    <col min="12542" max="12542" width="4.5" style="1" customWidth="1"/>
    <col min="12543" max="12543" width="22.625" style="1" customWidth="1"/>
    <col min="12544" max="12544" width="16.75" style="1" customWidth="1"/>
    <col min="12545" max="12545" width="10.25" style="1" customWidth="1"/>
    <col min="12546" max="12550" width="7.75" style="1" customWidth="1"/>
    <col min="12551" max="12551" width="28.75" style="1" customWidth="1"/>
    <col min="12552" max="12797" width="8.75" style="1"/>
    <col min="12798" max="12798" width="4.5" style="1" customWidth="1"/>
    <col min="12799" max="12799" width="22.625" style="1" customWidth="1"/>
    <col min="12800" max="12800" width="16.75" style="1" customWidth="1"/>
    <col min="12801" max="12801" width="10.25" style="1" customWidth="1"/>
    <col min="12802" max="12806" width="7.75" style="1" customWidth="1"/>
    <col min="12807" max="12807" width="28.75" style="1" customWidth="1"/>
    <col min="12808" max="13053" width="8.75" style="1"/>
    <col min="13054" max="13054" width="4.5" style="1" customWidth="1"/>
    <col min="13055" max="13055" width="22.625" style="1" customWidth="1"/>
    <col min="13056" max="13056" width="16.75" style="1" customWidth="1"/>
    <col min="13057" max="13057" width="10.25" style="1" customWidth="1"/>
    <col min="13058" max="13062" width="7.75" style="1" customWidth="1"/>
    <col min="13063" max="13063" width="28.75" style="1" customWidth="1"/>
    <col min="13064" max="13309" width="8.75" style="1"/>
    <col min="13310" max="13310" width="4.5" style="1" customWidth="1"/>
    <col min="13311" max="13311" width="22.625" style="1" customWidth="1"/>
    <col min="13312" max="13312" width="16.75" style="1" customWidth="1"/>
    <col min="13313" max="13313" width="10.25" style="1" customWidth="1"/>
    <col min="13314" max="13318" width="7.75" style="1" customWidth="1"/>
    <col min="13319" max="13319" width="28.75" style="1" customWidth="1"/>
    <col min="13320" max="13565" width="8.75" style="1"/>
    <col min="13566" max="13566" width="4.5" style="1" customWidth="1"/>
    <col min="13567" max="13567" width="22.625" style="1" customWidth="1"/>
    <col min="13568" max="13568" width="16.75" style="1" customWidth="1"/>
    <col min="13569" max="13569" width="10.25" style="1" customWidth="1"/>
    <col min="13570" max="13574" width="7.75" style="1" customWidth="1"/>
    <col min="13575" max="13575" width="28.75" style="1" customWidth="1"/>
    <col min="13576" max="13821" width="8.75" style="1"/>
    <col min="13822" max="13822" width="4.5" style="1" customWidth="1"/>
    <col min="13823" max="13823" width="22.625" style="1" customWidth="1"/>
    <col min="13824" max="13824" width="16.75" style="1" customWidth="1"/>
    <col min="13825" max="13825" width="10.25" style="1" customWidth="1"/>
    <col min="13826" max="13830" width="7.75" style="1" customWidth="1"/>
    <col min="13831" max="13831" width="28.75" style="1" customWidth="1"/>
    <col min="13832" max="14077" width="8.75" style="1"/>
    <col min="14078" max="14078" width="4.5" style="1" customWidth="1"/>
    <col min="14079" max="14079" width="22.625" style="1" customWidth="1"/>
    <col min="14080" max="14080" width="16.75" style="1" customWidth="1"/>
    <col min="14081" max="14081" width="10.25" style="1" customWidth="1"/>
    <col min="14082" max="14086" width="7.75" style="1" customWidth="1"/>
    <col min="14087" max="14087" width="28.75" style="1" customWidth="1"/>
    <col min="14088" max="14333" width="8.75" style="1"/>
    <col min="14334" max="14334" width="4.5" style="1" customWidth="1"/>
    <col min="14335" max="14335" width="22.625" style="1" customWidth="1"/>
    <col min="14336" max="14336" width="16.75" style="1" customWidth="1"/>
    <col min="14337" max="14337" width="10.25" style="1" customWidth="1"/>
    <col min="14338" max="14342" width="7.75" style="1" customWidth="1"/>
    <col min="14343" max="14343" width="28.75" style="1" customWidth="1"/>
    <col min="14344" max="14589" width="8.75" style="1"/>
    <col min="14590" max="14590" width="4.5" style="1" customWidth="1"/>
    <col min="14591" max="14591" width="22.625" style="1" customWidth="1"/>
    <col min="14592" max="14592" width="16.75" style="1" customWidth="1"/>
    <col min="14593" max="14593" width="10.25" style="1" customWidth="1"/>
    <col min="14594" max="14598" width="7.75" style="1" customWidth="1"/>
    <col min="14599" max="14599" width="28.75" style="1" customWidth="1"/>
    <col min="14600" max="14845" width="8.75" style="1"/>
    <col min="14846" max="14846" width="4.5" style="1" customWidth="1"/>
    <col min="14847" max="14847" width="22.625" style="1" customWidth="1"/>
    <col min="14848" max="14848" width="16.75" style="1" customWidth="1"/>
    <col min="14849" max="14849" width="10.25" style="1" customWidth="1"/>
    <col min="14850" max="14854" width="7.75" style="1" customWidth="1"/>
    <col min="14855" max="14855" width="28.75" style="1" customWidth="1"/>
    <col min="14856" max="15101" width="8.75" style="1"/>
    <col min="15102" max="15102" width="4.5" style="1" customWidth="1"/>
    <col min="15103" max="15103" width="22.625" style="1" customWidth="1"/>
    <col min="15104" max="15104" width="16.75" style="1" customWidth="1"/>
    <col min="15105" max="15105" width="10.25" style="1" customWidth="1"/>
    <col min="15106" max="15110" width="7.75" style="1" customWidth="1"/>
    <col min="15111" max="15111" width="28.75" style="1" customWidth="1"/>
    <col min="15112" max="15357" width="8.75" style="1"/>
    <col min="15358" max="15358" width="4.5" style="1" customWidth="1"/>
    <col min="15359" max="15359" width="22.625" style="1" customWidth="1"/>
    <col min="15360" max="15360" width="16.75" style="1" customWidth="1"/>
    <col min="15361" max="15361" width="10.25" style="1" customWidth="1"/>
    <col min="15362" max="15366" width="7.75" style="1" customWidth="1"/>
    <col min="15367" max="15367" width="28.75" style="1" customWidth="1"/>
    <col min="15368" max="15613" width="8.75" style="1"/>
    <col min="15614" max="15614" width="4.5" style="1" customWidth="1"/>
    <col min="15615" max="15615" width="22.625" style="1" customWidth="1"/>
    <col min="15616" max="15616" width="16.75" style="1" customWidth="1"/>
    <col min="15617" max="15617" width="10.25" style="1" customWidth="1"/>
    <col min="15618" max="15622" width="7.75" style="1" customWidth="1"/>
    <col min="15623" max="15623" width="28.75" style="1" customWidth="1"/>
    <col min="15624" max="15869" width="8.75" style="1"/>
    <col min="15870" max="15870" width="4.5" style="1" customWidth="1"/>
    <col min="15871" max="15871" width="22.625" style="1" customWidth="1"/>
    <col min="15872" max="15872" width="16.75" style="1" customWidth="1"/>
    <col min="15873" max="15873" width="10.25" style="1" customWidth="1"/>
    <col min="15874" max="15878" width="7.75" style="1" customWidth="1"/>
    <col min="15879" max="15879" width="28.75" style="1" customWidth="1"/>
    <col min="15880" max="16125" width="8.75" style="1"/>
    <col min="16126" max="16126" width="4.5" style="1" customWidth="1"/>
    <col min="16127" max="16127" width="22.625" style="1" customWidth="1"/>
    <col min="16128" max="16128" width="16.75" style="1" customWidth="1"/>
    <col min="16129" max="16129" width="10.25" style="1" customWidth="1"/>
    <col min="16130" max="16134" width="7.75" style="1" customWidth="1"/>
    <col min="16135" max="16135" width="28.75" style="1" customWidth="1"/>
    <col min="16136" max="16384" width="8.75" style="1"/>
  </cols>
  <sheetData>
    <row r="1" spans="1:10">
      <c r="A1" s="1" t="s">
        <v>0</v>
      </c>
      <c r="J1" s="20" t="s">
        <v>1</v>
      </c>
    </row>
    <row r="2" spans="1:10">
      <c r="B2" s="21" t="s">
        <v>2</v>
      </c>
      <c r="C2" s="22"/>
      <c r="D2" s="21" t="s">
        <v>3</v>
      </c>
      <c r="E2" s="22"/>
      <c r="F2" s="23"/>
      <c r="G2" s="24"/>
      <c r="H2" s="25" t="s">
        <v>4</v>
      </c>
      <c r="I2" s="25" t="s">
        <v>5</v>
      </c>
      <c r="J2" s="25" t="s">
        <v>6</v>
      </c>
    </row>
    <row r="3" spans="1:10" ht="18" customHeight="1">
      <c r="B3" s="26"/>
      <c r="C3" s="27"/>
      <c r="D3" s="28"/>
      <c r="E3" s="29"/>
      <c r="F3" s="30"/>
      <c r="G3" s="31"/>
      <c r="H3" s="32"/>
      <c r="I3" s="32"/>
      <c r="J3" s="32"/>
    </row>
    <row r="4" spans="1:10">
      <c r="B4" s="3" t="s">
        <v>21</v>
      </c>
      <c r="C4" s="3" t="s">
        <v>22</v>
      </c>
      <c r="D4" s="33" t="s">
        <v>7</v>
      </c>
      <c r="E4" s="34"/>
      <c r="F4" s="34"/>
      <c r="G4" s="24"/>
      <c r="H4" s="35"/>
      <c r="I4" s="32"/>
      <c r="J4" s="32"/>
    </row>
    <row r="5" spans="1:10" ht="18" customHeight="1">
      <c r="B5" s="96" t="s">
        <v>217</v>
      </c>
      <c r="C5" s="95" t="s">
        <v>218</v>
      </c>
      <c r="D5" s="37"/>
      <c r="E5" s="38"/>
      <c r="F5" s="39"/>
      <c r="G5" s="31"/>
      <c r="H5" s="40"/>
      <c r="I5" s="40"/>
      <c r="J5" s="40"/>
    </row>
    <row r="6" spans="1:10" ht="4.1500000000000004" customHeight="1"/>
    <row r="7" spans="1:10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0" ht="15" hidden="1" customHeight="1">
      <c r="A8" s="48">
        <v>1</v>
      </c>
      <c r="B8" s="49" t="s">
        <v>16</v>
      </c>
      <c r="C8" s="50" t="s">
        <v>17</v>
      </c>
      <c r="D8" s="49" t="s">
        <v>61</v>
      </c>
      <c r="E8" s="49">
        <v>11</v>
      </c>
      <c r="F8" s="49"/>
      <c r="G8" s="51" t="s">
        <v>19</v>
      </c>
      <c r="H8" s="51" t="s">
        <v>20</v>
      </c>
      <c r="I8" s="49"/>
      <c r="J8" s="52"/>
    </row>
    <row r="9" spans="1:10" s="13" customFormat="1" ht="24.95" customHeight="1">
      <c r="A9" s="14">
        <f>IF(B9="","",ROW()-8)</f>
        <v>1</v>
      </c>
      <c r="B9" s="123" t="s">
        <v>73</v>
      </c>
      <c r="C9" s="9" t="s">
        <v>76</v>
      </c>
      <c r="D9" s="55" t="s">
        <v>61</v>
      </c>
      <c r="E9" s="131">
        <v>1</v>
      </c>
      <c r="F9" s="55"/>
      <c r="G9" s="122" t="s">
        <v>94</v>
      </c>
      <c r="H9" s="10" t="s">
        <v>66</v>
      </c>
      <c r="I9" s="10"/>
      <c r="J9" s="55"/>
    </row>
    <row r="10" spans="1:10" s="13" customFormat="1" ht="24.95" customHeight="1">
      <c r="A10" s="14">
        <f>IF(B10="","",ROW()-8)</f>
        <v>2</v>
      </c>
      <c r="B10" s="123" t="s">
        <v>229</v>
      </c>
      <c r="C10" s="9" t="s">
        <v>77</v>
      </c>
      <c r="D10" s="55" t="s">
        <v>61</v>
      </c>
      <c r="E10" s="131">
        <v>6</v>
      </c>
      <c r="F10" s="55"/>
      <c r="G10" s="122" t="s">
        <v>94</v>
      </c>
      <c r="H10" s="10" t="s">
        <v>66</v>
      </c>
      <c r="I10" s="10"/>
      <c r="J10" s="55"/>
    </row>
    <row r="11" spans="1:10" s="13" customFormat="1" ht="24.95" customHeight="1">
      <c r="A11" s="14">
        <f t="shared" ref="A11:A12" si="0">IF(B11="","",ROW()-8)</f>
        <v>3</v>
      </c>
      <c r="B11" s="127" t="s">
        <v>235</v>
      </c>
      <c r="C11" s="124" t="s">
        <v>78</v>
      </c>
      <c r="D11" s="123" t="s">
        <v>60</v>
      </c>
      <c r="E11" s="132">
        <v>3</v>
      </c>
      <c r="F11" s="55"/>
      <c r="G11" s="122" t="s">
        <v>94</v>
      </c>
      <c r="H11" s="10" t="s">
        <v>66</v>
      </c>
      <c r="I11" s="10"/>
      <c r="J11" s="55"/>
    </row>
    <row r="12" spans="1:10" s="13" customFormat="1" ht="24.95" customHeight="1">
      <c r="A12" s="14">
        <f t="shared" si="0"/>
        <v>4</v>
      </c>
      <c r="B12" s="125" t="s">
        <v>233</v>
      </c>
      <c r="C12" s="126" t="s">
        <v>234</v>
      </c>
      <c r="D12" s="123" t="s">
        <v>61</v>
      </c>
      <c r="E12" s="132">
        <v>2</v>
      </c>
      <c r="F12" s="55"/>
      <c r="G12" s="122" t="s">
        <v>94</v>
      </c>
      <c r="H12" s="10" t="s">
        <v>66</v>
      </c>
      <c r="I12" s="10"/>
      <c r="J12" s="55"/>
    </row>
    <row r="13" spans="1:10" s="13" customFormat="1" ht="24.95" customHeight="1">
      <c r="A13" s="14">
        <f t="shared" ref="A13" si="1">IF(B13="","",ROW()-8)</f>
        <v>5</v>
      </c>
      <c r="B13" s="67" t="s">
        <v>244</v>
      </c>
      <c r="C13" s="99" t="s">
        <v>155</v>
      </c>
      <c r="D13" s="55" t="s">
        <v>60</v>
      </c>
      <c r="E13" s="131">
        <v>1000</v>
      </c>
      <c r="F13" s="55"/>
      <c r="G13" s="122" t="s">
        <v>94</v>
      </c>
      <c r="H13" s="10"/>
      <c r="I13" s="10"/>
      <c r="J13" s="55"/>
    </row>
    <row r="14" spans="1:10" s="13" customFormat="1" ht="24.95" customHeight="1">
      <c r="A14" s="14">
        <f t="shared" ref="A14:A24" si="2">IF(B14="","",ROW()-8)</f>
        <v>6</v>
      </c>
      <c r="B14" s="129" t="s">
        <v>242</v>
      </c>
      <c r="C14" s="54" t="s">
        <v>87</v>
      </c>
      <c r="D14" s="66" t="s">
        <v>270</v>
      </c>
      <c r="E14" s="131"/>
      <c r="F14" s="55"/>
      <c r="G14" s="122" t="s">
        <v>93</v>
      </c>
      <c r="H14" s="10"/>
      <c r="I14" s="10"/>
      <c r="J14" s="55"/>
    </row>
    <row r="15" spans="1:10" s="13" customFormat="1" ht="24.95" customHeight="1">
      <c r="A15" s="14">
        <f t="shared" si="2"/>
        <v>7</v>
      </c>
      <c r="B15" s="129" t="s">
        <v>241</v>
      </c>
      <c r="C15" s="54" t="s">
        <v>88</v>
      </c>
      <c r="D15" s="55" t="s">
        <v>269</v>
      </c>
      <c r="E15" s="131"/>
      <c r="F15" s="55"/>
      <c r="G15" s="122" t="s">
        <v>93</v>
      </c>
      <c r="H15" s="10"/>
      <c r="I15" s="10"/>
      <c r="J15" s="55"/>
    </row>
    <row r="16" spans="1:10" s="13" customFormat="1" ht="24.95" customHeight="1">
      <c r="A16" s="14" t="str">
        <f t="shared" si="2"/>
        <v/>
      </c>
      <c r="B16" s="55"/>
      <c r="C16" s="9"/>
      <c r="D16" s="55"/>
      <c r="E16" s="55"/>
      <c r="F16" s="55"/>
      <c r="G16" s="10"/>
      <c r="H16" s="10"/>
      <c r="I16" s="10"/>
      <c r="J16" s="55"/>
    </row>
    <row r="17" spans="1:10" s="13" customFormat="1" ht="24.95" customHeight="1">
      <c r="A17" s="14" t="str">
        <f t="shared" si="2"/>
        <v/>
      </c>
      <c r="B17" s="55"/>
      <c r="C17" s="9"/>
      <c r="D17" s="55"/>
      <c r="E17" s="55"/>
      <c r="F17" s="55"/>
      <c r="G17" s="10"/>
      <c r="H17" s="10"/>
      <c r="I17" s="10"/>
      <c r="J17" s="55"/>
    </row>
    <row r="18" spans="1:10" s="13" customFormat="1" ht="24.95" customHeight="1">
      <c r="A18" s="14" t="str">
        <f t="shared" si="2"/>
        <v/>
      </c>
      <c r="B18" s="54"/>
      <c r="C18" s="54"/>
      <c r="D18" s="55"/>
      <c r="E18" s="55"/>
      <c r="F18" s="55"/>
      <c r="G18" s="10"/>
      <c r="H18" s="10"/>
      <c r="I18" s="10"/>
      <c r="J18" s="55"/>
    </row>
    <row r="19" spans="1:10" s="13" customFormat="1" ht="24.95" customHeight="1">
      <c r="A19" s="14" t="str">
        <f t="shared" si="2"/>
        <v/>
      </c>
      <c r="B19" s="54"/>
      <c r="C19" s="54"/>
      <c r="D19" s="55"/>
      <c r="E19" s="55"/>
      <c r="F19" s="55"/>
      <c r="G19" s="10"/>
      <c r="H19" s="10"/>
      <c r="I19" s="10"/>
      <c r="J19" s="55"/>
    </row>
    <row r="20" spans="1:10" s="13" customFormat="1" ht="24.95" customHeight="1">
      <c r="A20" s="14" t="str">
        <f t="shared" si="2"/>
        <v/>
      </c>
      <c r="B20" s="55"/>
      <c r="C20" s="9"/>
      <c r="D20" s="55"/>
      <c r="E20" s="55"/>
      <c r="F20" s="55"/>
      <c r="G20" s="10"/>
      <c r="H20" s="10"/>
      <c r="I20" s="10"/>
      <c r="J20" s="55"/>
    </row>
    <row r="21" spans="1:10" s="13" customFormat="1" ht="24.95" customHeight="1">
      <c r="A21" s="14" t="str">
        <f t="shared" si="2"/>
        <v/>
      </c>
      <c r="B21" s="55"/>
      <c r="C21" s="9"/>
      <c r="D21" s="55"/>
      <c r="E21" s="55"/>
      <c r="F21" s="55"/>
      <c r="G21" s="10"/>
      <c r="H21" s="10"/>
      <c r="I21" s="55"/>
      <c r="J21" s="55"/>
    </row>
    <row r="22" spans="1:10" s="13" customFormat="1" ht="24.95" customHeight="1">
      <c r="A22" s="14" t="str">
        <f t="shared" si="2"/>
        <v/>
      </c>
      <c r="B22" s="55"/>
      <c r="C22" s="9"/>
      <c r="D22" s="55"/>
      <c r="E22" s="55"/>
      <c r="F22" s="55"/>
      <c r="G22" s="10"/>
      <c r="H22" s="10"/>
      <c r="I22" s="55"/>
      <c r="J22" s="55"/>
    </row>
    <row r="23" spans="1:10" s="13" customFormat="1" ht="24.95" customHeight="1">
      <c r="A23" s="14" t="str">
        <f t="shared" si="2"/>
        <v/>
      </c>
      <c r="B23" s="55"/>
      <c r="C23" s="9"/>
      <c r="D23" s="55"/>
      <c r="E23" s="55"/>
      <c r="F23" s="55"/>
      <c r="G23" s="10"/>
      <c r="H23" s="10"/>
      <c r="I23" s="55"/>
      <c r="J23" s="55"/>
    </row>
    <row r="24" spans="1:10" s="13" customFormat="1" ht="24.95" customHeight="1">
      <c r="A24" s="14" t="str">
        <f t="shared" si="2"/>
        <v/>
      </c>
      <c r="B24" s="55"/>
      <c r="C24" s="9"/>
      <c r="D24" s="55"/>
      <c r="E24" s="55"/>
      <c r="F24" s="55"/>
      <c r="G24" s="10"/>
      <c r="H24" s="10"/>
      <c r="I24" s="55"/>
      <c r="J24" s="55"/>
    </row>
  </sheetData>
  <phoneticPr fontId="4"/>
  <hyperlinks>
    <hyperlink ref="J1" location="目次!A1" display="テーブル一覧へ" xr:uid="{AADD6A97-62F7-47A5-924E-081C1BC92C04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0E86F-0695-405E-AF1E-81ABC7044D78}">
  <sheetPr codeName="Sheet18"/>
  <dimension ref="A1:N24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G19" sqref="G19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4">
      <c r="A1" s="1" t="s">
        <v>0</v>
      </c>
      <c r="J1" s="20" t="s">
        <v>1</v>
      </c>
    </row>
    <row r="2" spans="1:14">
      <c r="B2" s="21" t="s">
        <v>2</v>
      </c>
      <c r="C2" s="22"/>
      <c r="D2" s="21" t="s">
        <v>3</v>
      </c>
      <c r="E2" s="22"/>
      <c r="F2" s="23"/>
      <c r="G2" s="24"/>
      <c r="H2" s="25" t="s">
        <v>4</v>
      </c>
      <c r="I2" s="25" t="s">
        <v>5</v>
      </c>
      <c r="J2" s="25" t="s">
        <v>6</v>
      </c>
    </row>
    <row r="3" spans="1:14" ht="18" customHeight="1">
      <c r="B3" s="26"/>
      <c r="C3" s="27"/>
      <c r="D3" s="28"/>
      <c r="E3" s="29"/>
      <c r="F3" s="30"/>
      <c r="G3" s="31"/>
      <c r="H3" s="32"/>
      <c r="I3" s="32"/>
      <c r="J3" s="32"/>
    </row>
    <row r="4" spans="1:14">
      <c r="B4" s="3" t="s">
        <v>21</v>
      </c>
      <c r="C4" s="3" t="s">
        <v>22</v>
      </c>
      <c r="D4" s="33" t="s">
        <v>7</v>
      </c>
      <c r="E4" s="34"/>
      <c r="F4" s="34"/>
      <c r="G4" s="24"/>
      <c r="H4" s="35"/>
      <c r="I4" s="32"/>
      <c r="J4" s="32"/>
    </row>
    <row r="5" spans="1:14" ht="18" customHeight="1">
      <c r="B5" s="96" t="s">
        <v>141</v>
      </c>
      <c r="C5" s="95" t="s">
        <v>142</v>
      </c>
      <c r="D5" s="37"/>
      <c r="E5" s="38"/>
      <c r="F5" s="39"/>
      <c r="G5" s="31"/>
      <c r="H5" s="40"/>
      <c r="I5" s="40"/>
      <c r="J5" s="40"/>
      <c r="K5" s="13"/>
      <c r="L5" s="13"/>
      <c r="M5" s="13"/>
      <c r="N5" s="13"/>
    </row>
    <row r="6" spans="1:14" ht="4.1500000000000004" customHeight="1">
      <c r="K6" s="13"/>
      <c r="L6" s="13"/>
      <c r="M6" s="13"/>
      <c r="N6" s="13"/>
    </row>
    <row r="7" spans="1:14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  <c r="K7" s="13"/>
      <c r="L7" s="13"/>
      <c r="M7" s="13"/>
      <c r="N7" s="13"/>
    </row>
    <row r="8" spans="1:14" ht="15" hidden="1" customHeight="1">
      <c r="A8" s="48">
        <v>1</v>
      </c>
      <c r="B8" s="49" t="s">
        <v>16</v>
      </c>
      <c r="C8" s="50" t="s">
        <v>17</v>
      </c>
      <c r="D8" s="49" t="s">
        <v>61</v>
      </c>
      <c r="E8" s="49">
        <v>11</v>
      </c>
      <c r="F8" s="49"/>
      <c r="G8" s="51" t="s">
        <v>19</v>
      </c>
      <c r="H8" s="51" t="s">
        <v>20</v>
      </c>
      <c r="I8" s="49"/>
      <c r="J8" s="52"/>
      <c r="K8" s="13"/>
      <c r="L8" s="13"/>
      <c r="M8" s="13"/>
      <c r="N8" s="13"/>
    </row>
    <row r="9" spans="1:14" s="13" customFormat="1" ht="24.95" customHeight="1">
      <c r="A9" s="14">
        <f>IF(B9="","",ROW()-8)</f>
        <v>1</v>
      </c>
      <c r="B9" s="92" t="s">
        <v>220</v>
      </c>
      <c r="C9" s="54" t="s">
        <v>119</v>
      </c>
      <c r="D9" s="55" t="s">
        <v>60</v>
      </c>
      <c r="E9" s="55">
        <v>60</v>
      </c>
      <c r="F9" s="55"/>
      <c r="G9" s="10" t="s">
        <v>19</v>
      </c>
      <c r="H9" s="10" t="s">
        <v>20</v>
      </c>
      <c r="I9" s="55"/>
      <c r="J9" s="55"/>
      <c r="L9" s="13" t="str">
        <f>"T2." &amp;C9 &amp; ","</f>
        <v>T2.userid,</v>
      </c>
    </row>
    <row r="10" spans="1:14" s="13" customFormat="1" ht="24.95" customHeight="1">
      <c r="A10" s="14">
        <f>IF(B10="","",ROW()-8)</f>
        <v>2</v>
      </c>
      <c r="B10" s="123" t="s">
        <v>73</v>
      </c>
      <c r="C10" s="9" t="s">
        <v>76</v>
      </c>
      <c r="D10" s="55" t="s">
        <v>61</v>
      </c>
      <c r="E10" s="55">
        <v>1</v>
      </c>
      <c r="F10" s="55"/>
      <c r="G10" s="10" t="s">
        <v>19</v>
      </c>
      <c r="H10" s="10" t="s">
        <v>66</v>
      </c>
      <c r="I10" s="10"/>
      <c r="J10" s="55"/>
      <c r="L10" s="13" t="str">
        <f t="shared" ref="L10:L15" si="0">"T2." &amp;C10 &amp; ","</f>
        <v>T2.nkbn,</v>
      </c>
    </row>
    <row r="11" spans="1:14" s="13" customFormat="1" ht="24.95" customHeight="1">
      <c r="A11" s="14">
        <f>IF(B11="","",ROW()-8)</f>
        <v>3</v>
      </c>
      <c r="B11" s="123" t="s">
        <v>229</v>
      </c>
      <c r="C11" s="9" t="s">
        <v>77</v>
      </c>
      <c r="D11" s="55" t="s">
        <v>61</v>
      </c>
      <c r="E11" s="55">
        <v>6</v>
      </c>
      <c r="F11" s="55"/>
      <c r="G11" s="10" t="s">
        <v>19</v>
      </c>
      <c r="H11" s="10" t="s">
        <v>66</v>
      </c>
      <c r="I11" s="10"/>
      <c r="J11" s="55"/>
      <c r="L11" s="13" t="str">
        <f t="shared" si="0"/>
        <v>T2.yearmonth,</v>
      </c>
    </row>
    <row r="12" spans="1:14" s="13" customFormat="1" ht="24.95" customHeight="1">
      <c r="A12" s="14">
        <f t="shared" ref="A12" si="1">IF(B12="","",ROW()-8)</f>
        <v>4</v>
      </c>
      <c r="B12" s="127" t="s">
        <v>235</v>
      </c>
      <c r="C12" s="124" t="s">
        <v>78</v>
      </c>
      <c r="D12" s="123" t="s">
        <v>60</v>
      </c>
      <c r="E12" s="132">
        <v>3</v>
      </c>
      <c r="F12" s="55"/>
      <c r="G12" s="122" t="s">
        <v>94</v>
      </c>
      <c r="H12" s="10" t="s">
        <v>66</v>
      </c>
      <c r="I12" s="10"/>
      <c r="J12" s="55"/>
      <c r="L12" s="13" t="str">
        <f t="shared" si="0"/>
        <v>T2.questionno,</v>
      </c>
    </row>
    <row r="13" spans="1:14" s="13" customFormat="1" ht="24.95" customHeight="1">
      <c r="A13" s="14">
        <f t="shared" ref="A13:A24" si="2">IF(B13="","",ROW()-8)</f>
        <v>5</v>
      </c>
      <c r="B13" s="67" t="s">
        <v>245</v>
      </c>
      <c r="C13" s="97" t="s">
        <v>144</v>
      </c>
      <c r="D13" s="55" t="s">
        <v>61</v>
      </c>
      <c r="E13" s="55">
        <v>1</v>
      </c>
      <c r="F13" s="55"/>
      <c r="G13" s="70" t="s">
        <v>143</v>
      </c>
      <c r="H13" s="10"/>
      <c r="I13" s="10"/>
      <c r="J13" s="55"/>
      <c r="L13" s="13" t="str">
        <f t="shared" si="0"/>
        <v>T2.chooseanswer,</v>
      </c>
    </row>
    <row r="14" spans="1:14" s="13" customFormat="1" ht="24.95" customHeight="1">
      <c r="A14" s="14">
        <f t="shared" si="2"/>
        <v>6</v>
      </c>
      <c r="B14" s="127" t="s">
        <v>75</v>
      </c>
      <c r="C14" s="124" t="s">
        <v>84</v>
      </c>
      <c r="D14" s="123" t="s">
        <v>61</v>
      </c>
      <c r="E14" s="132">
        <v>1</v>
      </c>
      <c r="F14" s="55"/>
      <c r="G14" s="122" t="s">
        <v>93</v>
      </c>
      <c r="H14" s="10"/>
      <c r="I14" s="10"/>
      <c r="J14" s="55"/>
      <c r="L14" s="13" t="str">
        <f t="shared" si="0"/>
        <v>T2.correct,</v>
      </c>
    </row>
    <row r="15" spans="1:14" s="13" customFormat="1" ht="24.95" customHeight="1">
      <c r="A15" s="14">
        <f t="shared" si="2"/>
        <v>7</v>
      </c>
      <c r="B15" s="123" t="s">
        <v>240</v>
      </c>
      <c r="C15" s="124" t="s">
        <v>86</v>
      </c>
      <c r="D15" s="123" t="s">
        <v>67</v>
      </c>
      <c r="E15" s="132">
        <v>3</v>
      </c>
      <c r="F15" s="55"/>
      <c r="G15" s="122" t="s">
        <v>93</v>
      </c>
      <c r="H15" s="10"/>
      <c r="I15" s="10"/>
      <c r="J15" s="55"/>
      <c r="L15" s="13" t="str">
        <f t="shared" si="0"/>
        <v>T2.fraction,</v>
      </c>
    </row>
    <row r="16" spans="1:14" s="13" customFormat="1" ht="24.95" customHeight="1">
      <c r="A16" s="14">
        <f t="shared" si="2"/>
        <v>8</v>
      </c>
      <c r="B16" s="129" t="s">
        <v>242</v>
      </c>
      <c r="C16" s="54" t="s">
        <v>87</v>
      </c>
      <c r="D16" s="55" t="s">
        <v>269</v>
      </c>
      <c r="E16" s="59"/>
      <c r="F16" s="59"/>
      <c r="G16" s="122" t="s">
        <v>93</v>
      </c>
      <c r="H16" s="60"/>
      <c r="I16" s="59"/>
      <c r="J16" s="61"/>
    </row>
    <row r="17" spans="1:12" s="13" customFormat="1" ht="24.95" customHeight="1">
      <c r="A17" s="14">
        <f t="shared" si="2"/>
        <v>9</v>
      </c>
      <c r="B17" s="129" t="s">
        <v>241</v>
      </c>
      <c r="C17" s="54" t="s">
        <v>88</v>
      </c>
      <c r="D17" s="55" t="s">
        <v>269</v>
      </c>
      <c r="E17" s="55"/>
      <c r="F17" s="55"/>
      <c r="G17" s="122" t="s">
        <v>93</v>
      </c>
      <c r="H17" s="10"/>
      <c r="I17" s="55"/>
      <c r="J17" s="55"/>
    </row>
    <row r="18" spans="1:12" s="13" customFormat="1" ht="24.95" customHeight="1">
      <c r="A18" s="14" t="str">
        <f t="shared" si="2"/>
        <v/>
      </c>
      <c r="B18" s="55"/>
      <c r="C18" s="9"/>
      <c r="D18" s="55"/>
      <c r="E18" s="55"/>
      <c r="F18" s="55"/>
      <c r="G18" s="10"/>
      <c r="H18" s="10"/>
      <c r="I18" s="10"/>
      <c r="J18" s="55"/>
    </row>
    <row r="19" spans="1:12" s="13" customFormat="1" ht="24.95" customHeight="1">
      <c r="A19" s="14" t="str">
        <f t="shared" si="2"/>
        <v/>
      </c>
      <c r="B19" s="55"/>
      <c r="C19" s="9"/>
      <c r="D19" s="55"/>
      <c r="E19" s="55"/>
      <c r="F19" s="55"/>
      <c r="G19" s="10"/>
      <c r="H19" s="10"/>
      <c r="I19" s="10"/>
      <c r="J19" s="55"/>
    </row>
    <row r="20" spans="1:12" s="13" customFormat="1" ht="24.95" customHeight="1">
      <c r="A20" s="14" t="str">
        <f t="shared" si="2"/>
        <v/>
      </c>
      <c r="B20" s="54"/>
      <c r="C20" s="54"/>
      <c r="D20" s="55"/>
      <c r="E20" s="55"/>
      <c r="F20" s="55"/>
      <c r="G20" s="10"/>
      <c r="H20" s="10"/>
      <c r="I20" s="10"/>
      <c r="J20" s="55"/>
    </row>
    <row r="21" spans="1:12" s="13" customFormat="1" ht="24.95" customHeight="1">
      <c r="A21" s="14" t="str">
        <f t="shared" si="2"/>
        <v/>
      </c>
      <c r="B21" s="54"/>
      <c r="C21" s="54"/>
      <c r="D21" s="55"/>
      <c r="E21" s="55"/>
      <c r="F21" s="55"/>
      <c r="G21" s="10"/>
      <c r="H21" s="10"/>
      <c r="I21" s="10"/>
      <c r="J21" s="55"/>
    </row>
    <row r="22" spans="1:12" s="13" customFormat="1" ht="24.95" customHeight="1">
      <c r="A22" s="14" t="str">
        <f t="shared" si="2"/>
        <v/>
      </c>
      <c r="B22" s="55"/>
      <c r="C22" s="9"/>
      <c r="D22" s="55"/>
      <c r="E22" s="55"/>
      <c r="F22" s="55"/>
      <c r="G22" s="10"/>
      <c r="H22" s="10"/>
      <c r="I22" s="10"/>
      <c r="J22" s="55"/>
      <c r="K22" s="63"/>
      <c r="L22" s="12"/>
    </row>
    <row r="23" spans="1:12" s="13" customFormat="1" ht="24.95" customHeight="1">
      <c r="A23" s="14" t="str">
        <f t="shared" si="2"/>
        <v/>
      </c>
      <c r="B23" s="55"/>
      <c r="C23" s="9"/>
      <c r="D23" s="55"/>
      <c r="E23" s="55"/>
      <c r="F23" s="55"/>
      <c r="G23" s="10"/>
      <c r="H23" s="10"/>
      <c r="I23" s="55"/>
      <c r="J23" s="55"/>
      <c r="K23" s="63"/>
      <c r="L23" s="12"/>
    </row>
    <row r="24" spans="1:12" ht="24.95" customHeight="1">
      <c r="A24" s="42" t="str">
        <f t="shared" si="2"/>
        <v/>
      </c>
      <c r="B24" s="43"/>
      <c r="C24" s="44"/>
      <c r="D24" s="43"/>
      <c r="E24" s="43"/>
      <c r="F24" s="43"/>
      <c r="G24" s="45"/>
      <c r="H24" s="45"/>
      <c r="I24" s="43"/>
      <c r="J24" s="47"/>
      <c r="K24" s="41"/>
      <c r="L24" s="41"/>
    </row>
  </sheetData>
  <phoneticPr fontId="4"/>
  <hyperlinks>
    <hyperlink ref="J1" location="目次!A1" display="テーブル一覧へ" xr:uid="{F4FF3846-9C5D-4F84-A81C-48E7E9C93BF4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0D271-98D3-4DAA-993B-62E27DE187D8}">
  <sheetPr codeName="Sheet17"/>
  <dimension ref="A1:L41"/>
  <sheetViews>
    <sheetView view="pageBreakPreview" zoomScaleNormal="100" zoomScaleSheetLayoutView="100" workbookViewId="0">
      <pane ySplit="7" topLeftCell="A8" activePane="bottomLeft" state="frozen"/>
      <selection activeCell="O18" sqref="O18"/>
      <selection pane="bottomLeft" activeCell="B17" sqref="B17"/>
    </sheetView>
  </sheetViews>
  <sheetFormatPr defaultColWidth="8.75" defaultRowHeight="13.5"/>
  <cols>
    <col min="1" max="1" width="4.5" style="1" customWidth="1"/>
    <col min="2" max="2" width="22.625" style="1" customWidth="1"/>
    <col min="3" max="3" width="16.75" style="1" customWidth="1"/>
    <col min="4" max="4" width="10.25" style="1" customWidth="1"/>
    <col min="5" max="6" width="7.75" style="1" customWidth="1"/>
    <col min="7" max="8" width="7.75" style="2" customWidth="1"/>
    <col min="9" max="9" width="7.75" style="1" customWidth="1"/>
    <col min="10" max="10" width="28.75" style="1" customWidth="1"/>
    <col min="11" max="11" width="15.875" style="1" bestFit="1" customWidth="1"/>
    <col min="12" max="256" width="8.75" style="1"/>
    <col min="257" max="257" width="4.5" style="1" customWidth="1"/>
    <col min="258" max="258" width="22.625" style="1" customWidth="1"/>
    <col min="259" max="259" width="16.75" style="1" customWidth="1"/>
    <col min="260" max="260" width="10.25" style="1" customWidth="1"/>
    <col min="261" max="265" width="7.75" style="1" customWidth="1"/>
    <col min="266" max="266" width="28.75" style="1" customWidth="1"/>
    <col min="267" max="512" width="8.75" style="1"/>
    <col min="513" max="513" width="4.5" style="1" customWidth="1"/>
    <col min="514" max="514" width="22.625" style="1" customWidth="1"/>
    <col min="515" max="515" width="16.75" style="1" customWidth="1"/>
    <col min="516" max="516" width="10.25" style="1" customWidth="1"/>
    <col min="517" max="521" width="7.75" style="1" customWidth="1"/>
    <col min="522" max="522" width="28.75" style="1" customWidth="1"/>
    <col min="523" max="768" width="8.75" style="1"/>
    <col min="769" max="769" width="4.5" style="1" customWidth="1"/>
    <col min="770" max="770" width="22.625" style="1" customWidth="1"/>
    <col min="771" max="771" width="16.75" style="1" customWidth="1"/>
    <col min="772" max="772" width="10.25" style="1" customWidth="1"/>
    <col min="773" max="777" width="7.75" style="1" customWidth="1"/>
    <col min="778" max="778" width="28.75" style="1" customWidth="1"/>
    <col min="779" max="1024" width="8.75" style="1"/>
    <col min="1025" max="1025" width="4.5" style="1" customWidth="1"/>
    <col min="1026" max="1026" width="22.625" style="1" customWidth="1"/>
    <col min="1027" max="1027" width="16.75" style="1" customWidth="1"/>
    <col min="1028" max="1028" width="10.25" style="1" customWidth="1"/>
    <col min="1029" max="1033" width="7.75" style="1" customWidth="1"/>
    <col min="1034" max="1034" width="28.75" style="1" customWidth="1"/>
    <col min="1035" max="1280" width="8.75" style="1"/>
    <col min="1281" max="1281" width="4.5" style="1" customWidth="1"/>
    <col min="1282" max="1282" width="22.625" style="1" customWidth="1"/>
    <col min="1283" max="1283" width="16.75" style="1" customWidth="1"/>
    <col min="1284" max="1284" width="10.25" style="1" customWidth="1"/>
    <col min="1285" max="1289" width="7.75" style="1" customWidth="1"/>
    <col min="1290" max="1290" width="28.75" style="1" customWidth="1"/>
    <col min="1291" max="1536" width="8.75" style="1"/>
    <col min="1537" max="1537" width="4.5" style="1" customWidth="1"/>
    <col min="1538" max="1538" width="22.625" style="1" customWidth="1"/>
    <col min="1539" max="1539" width="16.75" style="1" customWidth="1"/>
    <col min="1540" max="1540" width="10.25" style="1" customWidth="1"/>
    <col min="1541" max="1545" width="7.75" style="1" customWidth="1"/>
    <col min="1546" max="1546" width="28.75" style="1" customWidth="1"/>
    <col min="1547" max="1792" width="8.75" style="1"/>
    <col min="1793" max="1793" width="4.5" style="1" customWidth="1"/>
    <col min="1794" max="1794" width="22.625" style="1" customWidth="1"/>
    <col min="1795" max="1795" width="16.75" style="1" customWidth="1"/>
    <col min="1796" max="1796" width="10.25" style="1" customWidth="1"/>
    <col min="1797" max="1801" width="7.75" style="1" customWidth="1"/>
    <col min="1802" max="1802" width="28.75" style="1" customWidth="1"/>
    <col min="1803" max="2048" width="8.75" style="1"/>
    <col min="2049" max="2049" width="4.5" style="1" customWidth="1"/>
    <col min="2050" max="2050" width="22.625" style="1" customWidth="1"/>
    <col min="2051" max="2051" width="16.75" style="1" customWidth="1"/>
    <col min="2052" max="2052" width="10.25" style="1" customWidth="1"/>
    <col min="2053" max="2057" width="7.75" style="1" customWidth="1"/>
    <col min="2058" max="2058" width="28.75" style="1" customWidth="1"/>
    <col min="2059" max="2304" width="8.75" style="1"/>
    <col min="2305" max="2305" width="4.5" style="1" customWidth="1"/>
    <col min="2306" max="2306" width="22.625" style="1" customWidth="1"/>
    <col min="2307" max="2307" width="16.75" style="1" customWidth="1"/>
    <col min="2308" max="2308" width="10.25" style="1" customWidth="1"/>
    <col min="2309" max="2313" width="7.75" style="1" customWidth="1"/>
    <col min="2314" max="2314" width="28.75" style="1" customWidth="1"/>
    <col min="2315" max="2560" width="8.75" style="1"/>
    <col min="2561" max="2561" width="4.5" style="1" customWidth="1"/>
    <col min="2562" max="2562" width="22.625" style="1" customWidth="1"/>
    <col min="2563" max="2563" width="16.75" style="1" customWidth="1"/>
    <col min="2564" max="2564" width="10.25" style="1" customWidth="1"/>
    <col min="2565" max="2569" width="7.75" style="1" customWidth="1"/>
    <col min="2570" max="2570" width="28.75" style="1" customWidth="1"/>
    <col min="2571" max="2816" width="8.75" style="1"/>
    <col min="2817" max="2817" width="4.5" style="1" customWidth="1"/>
    <col min="2818" max="2818" width="22.625" style="1" customWidth="1"/>
    <col min="2819" max="2819" width="16.75" style="1" customWidth="1"/>
    <col min="2820" max="2820" width="10.25" style="1" customWidth="1"/>
    <col min="2821" max="2825" width="7.75" style="1" customWidth="1"/>
    <col min="2826" max="2826" width="28.75" style="1" customWidth="1"/>
    <col min="2827" max="3072" width="8.75" style="1"/>
    <col min="3073" max="3073" width="4.5" style="1" customWidth="1"/>
    <col min="3074" max="3074" width="22.625" style="1" customWidth="1"/>
    <col min="3075" max="3075" width="16.75" style="1" customWidth="1"/>
    <col min="3076" max="3076" width="10.25" style="1" customWidth="1"/>
    <col min="3077" max="3081" width="7.75" style="1" customWidth="1"/>
    <col min="3082" max="3082" width="28.75" style="1" customWidth="1"/>
    <col min="3083" max="3328" width="8.75" style="1"/>
    <col min="3329" max="3329" width="4.5" style="1" customWidth="1"/>
    <col min="3330" max="3330" width="22.625" style="1" customWidth="1"/>
    <col min="3331" max="3331" width="16.75" style="1" customWidth="1"/>
    <col min="3332" max="3332" width="10.25" style="1" customWidth="1"/>
    <col min="3333" max="3337" width="7.75" style="1" customWidth="1"/>
    <col min="3338" max="3338" width="28.75" style="1" customWidth="1"/>
    <col min="3339" max="3584" width="8.75" style="1"/>
    <col min="3585" max="3585" width="4.5" style="1" customWidth="1"/>
    <col min="3586" max="3586" width="22.625" style="1" customWidth="1"/>
    <col min="3587" max="3587" width="16.75" style="1" customWidth="1"/>
    <col min="3588" max="3588" width="10.25" style="1" customWidth="1"/>
    <col min="3589" max="3593" width="7.75" style="1" customWidth="1"/>
    <col min="3594" max="3594" width="28.75" style="1" customWidth="1"/>
    <col min="3595" max="3840" width="8.75" style="1"/>
    <col min="3841" max="3841" width="4.5" style="1" customWidth="1"/>
    <col min="3842" max="3842" width="22.625" style="1" customWidth="1"/>
    <col min="3843" max="3843" width="16.75" style="1" customWidth="1"/>
    <col min="3844" max="3844" width="10.25" style="1" customWidth="1"/>
    <col min="3845" max="3849" width="7.75" style="1" customWidth="1"/>
    <col min="3850" max="3850" width="28.75" style="1" customWidth="1"/>
    <col min="3851" max="4096" width="8.75" style="1"/>
    <col min="4097" max="4097" width="4.5" style="1" customWidth="1"/>
    <col min="4098" max="4098" width="22.625" style="1" customWidth="1"/>
    <col min="4099" max="4099" width="16.75" style="1" customWidth="1"/>
    <col min="4100" max="4100" width="10.25" style="1" customWidth="1"/>
    <col min="4101" max="4105" width="7.75" style="1" customWidth="1"/>
    <col min="4106" max="4106" width="28.75" style="1" customWidth="1"/>
    <col min="4107" max="4352" width="8.75" style="1"/>
    <col min="4353" max="4353" width="4.5" style="1" customWidth="1"/>
    <col min="4354" max="4354" width="22.625" style="1" customWidth="1"/>
    <col min="4355" max="4355" width="16.75" style="1" customWidth="1"/>
    <col min="4356" max="4356" width="10.25" style="1" customWidth="1"/>
    <col min="4357" max="4361" width="7.75" style="1" customWidth="1"/>
    <col min="4362" max="4362" width="28.75" style="1" customWidth="1"/>
    <col min="4363" max="4608" width="8.75" style="1"/>
    <col min="4609" max="4609" width="4.5" style="1" customWidth="1"/>
    <col min="4610" max="4610" width="22.625" style="1" customWidth="1"/>
    <col min="4611" max="4611" width="16.75" style="1" customWidth="1"/>
    <col min="4612" max="4612" width="10.25" style="1" customWidth="1"/>
    <col min="4613" max="4617" width="7.75" style="1" customWidth="1"/>
    <col min="4618" max="4618" width="28.75" style="1" customWidth="1"/>
    <col min="4619" max="4864" width="8.75" style="1"/>
    <col min="4865" max="4865" width="4.5" style="1" customWidth="1"/>
    <col min="4866" max="4866" width="22.625" style="1" customWidth="1"/>
    <col min="4867" max="4867" width="16.75" style="1" customWidth="1"/>
    <col min="4868" max="4868" width="10.25" style="1" customWidth="1"/>
    <col min="4869" max="4873" width="7.75" style="1" customWidth="1"/>
    <col min="4874" max="4874" width="28.75" style="1" customWidth="1"/>
    <col min="4875" max="5120" width="8.75" style="1"/>
    <col min="5121" max="5121" width="4.5" style="1" customWidth="1"/>
    <col min="5122" max="5122" width="22.625" style="1" customWidth="1"/>
    <col min="5123" max="5123" width="16.75" style="1" customWidth="1"/>
    <col min="5124" max="5124" width="10.25" style="1" customWidth="1"/>
    <col min="5125" max="5129" width="7.75" style="1" customWidth="1"/>
    <col min="5130" max="5130" width="28.75" style="1" customWidth="1"/>
    <col min="5131" max="5376" width="8.75" style="1"/>
    <col min="5377" max="5377" width="4.5" style="1" customWidth="1"/>
    <col min="5378" max="5378" width="22.625" style="1" customWidth="1"/>
    <col min="5379" max="5379" width="16.75" style="1" customWidth="1"/>
    <col min="5380" max="5380" width="10.25" style="1" customWidth="1"/>
    <col min="5381" max="5385" width="7.75" style="1" customWidth="1"/>
    <col min="5386" max="5386" width="28.75" style="1" customWidth="1"/>
    <col min="5387" max="5632" width="8.75" style="1"/>
    <col min="5633" max="5633" width="4.5" style="1" customWidth="1"/>
    <col min="5634" max="5634" width="22.625" style="1" customWidth="1"/>
    <col min="5635" max="5635" width="16.75" style="1" customWidth="1"/>
    <col min="5636" max="5636" width="10.25" style="1" customWidth="1"/>
    <col min="5637" max="5641" width="7.75" style="1" customWidth="1"/>
    <col min="5642" max="5642" width="28.75" style="1" customWidth="1"/>
    <col min="5643" max="5888" width="8.75" style="1"/>
    <col min="5889" max="5889" width="4.5" style="1" customWidth="1"/>
    <col min="5890" max="5890" width="22.625" style="1" customWidth="1"/>
    <col min="5891" max="5891" width="16.75" style="1" customWidth="1"/>
    <col min="5892" max="5892" width="10.25" style="1" customWidth="1"/>
    <col min="5893" max="5897" width="7.75" style="1" customWidth="1"/>
    <col min="5898" max="5898" width="28.75" style="1" customWidth="1"/>
    <col min="5899" max="6144" width="8.75" style="1"/>
    <col min="6145" max="6145" width="4.5" style="1" customWidth="1"/>
    <col min="6146" max="6146" width="22.625" style="1" customWidth="1"/>
    <col min="6147" max="6147" width="16.75" style="1" customWidth="1"/>
    <col min="6148" max="6148" width="10.25" style="1" customWidth="1"/>
    <col min="6149" max="6153" width="7.75" style="1" customWidth="1"/>
    <col min="6154" max="6154" width="28.75" style="1" customWidth="1"/>
    <col min="6155" max="6400" width="8.75" style="1"/>
    <col min="6401" max="6401" width="4.5" style="1" customWidth="1"/>
    <col min="6402" max="6402" width="22.625" style="1" customWidth="1"/>
    <col min="6403" max="6403" width="16.75" style="1" customWidth="1"/>
    <col min="6404" max="6404" width="10.25" style="1" customWidth="1"/>
    <col min="6405" max="6409" width="7.75" style="1" customWidth="1"/>
    <col min="6410" max="6410" width="28.75" style="1" customWidth="1"/>
    <col min="6411" max="6656" width="8.75" style="1"/>
    <col min="6657" max="6657" width="4.5" style="1" customWidth="1"/>
    <col min="6658" max="6658" width="22.625" style="1" customWidth="1"/>
    <col min="6659" max="6659" width="16.75" style="1" customWidth="1"/>
    <col min="6660" max="6660" width="10.25" style="1" customWidth="1"/>
    <col min="6661" max="6665" width="7.75" style="1" customWidth="1"/>
    <col min="6666" max="6666" width="28.75" style="1" customWidth="1"/>
    <col min="6667" max="6912" width="8.75" style="1"/>
    <col min="6913" max="6913" width="4.5" style="1" customWidth="1"/>
    <col min="6914" max="6914" width="22.625" style="1" customWidth="1"/>
    <col min="6915" max="6915" width="16.75" style="1" customWidth="1"/>
    <col min="6916" max="6916" width="10.25" style="1" customWidth="1"/>
    <col min="6917" max="6921" width="7.75" style="1" customWidth="1"/>
    <col min="6922" max="6922" width="28.75" style="1" customWidth="1"/>
    <col min="6923" max="7168" width="8.75" style="1"/>
    <col min="7169" max="7169" width="4.5" style="1" customWidth="1"/>
    <col min="7170" max="7170" width="22.625" style="1" customWidth="1"/>
    <col min="7171" max="7171" width="16.75" style="1" customWidth="1"/>
    <col min="7172" max="7172" width="10.25" style="1" customWidth="1"/>
    <col min="7173" max="7177" width="7.75" style="1" customWidth="1"/>
    <col min="7178" max="7178" width="28.75" style="1" customWidth="1"/>
    <col min="7179" max="7424" width="8.75" style="1"/>
    <col min="7425" max="7425" width="4.5" style="1" customWidth="1"/>
    <col min="7426" max="7426" width="22.625" style="1" customWidth="1"/>
    <col min="7427" max="7427" width="16.75" style="1" customWidth="1"/>
    <col min="7428" max="7428" width="10.25" style="1" customWidth="1"/>
    <col min="7429" max="7433" width="7.75" style="1" customWidth="1"/>
    <col min="7434" max="7434" width="28.75" style="1" customWidth="1"/>
    <col min="7435" max="7680" width="8.75" style="1"/>
    <col min="7681" max="7681" width="4.5" style="1" customWidth="1"/>
    <col min="7682" max="7682" width="22.625" style="1" customWidth="1"/>
    <col min="7683" max="7683" width="16.75" style="1" customWidth="1"/>
    <col min="7684" max="7684" width="10.25" style="1" customWidth="1"/>
    <col min="7685" max="7689" width="7.75" style="1" customWidth="1"/>
    <col min="7690" max="7690" width="28.75" style="1" customWidth="1"/>
    <col min="7691" max="7936" width="8.75" style="1"/>
    <col min="7937" max="7937" width="4.5" style="1" customWidth="1"/>
    <col min="7938" max="7938" width="22.625" style="1" customWidth="1"/>
    <col min="7939" max="7939" width="16.75" style="1" customWidth="1"/>
    <col min="7940" max="7940" width="10.25" style="1" customWidth="1"/>
    <col min="7941" max="7945" width="7.75" style="1" customWidth="1"/>
    <col min="7946" max="7946" width="28.75" style="1" customWidth="1"/>
    <col min="7947" max="8192" width="8.75" style="1"/>
    <col min="8193" max="8193" width="4.5" style="1" customWidth="1"/>
    <col min="8194" max="8194" width="22.625" style="1" customWidth="1"/>
    <col min="8195" max="8195" width="16.75" style="1" customWidth="1"/>
    <col min="8196" max="8196" width="10.25" style="1" customWidth="1"/>
    <col min="8197" max="8201" width="7.75" style="1" customWidth="1"/>
    <col min="8202" max="8202" width="28.75" style="1" customWidth="1"/>
    <col min="8203" max="8448" width="8.75" style="1"/>
    <col min="8449" max="8449" width="4.5" style="1" customWidth="1"/>
    <col min="8450" max="8450" width="22.625" style="1" customWidth="1"/>
    <col min="8451" max="8451" width="16.75" style="1" customWidth="1"/>
    <col min="8452" max="8452" width="10.25" style="1" customWidth="1"/>
    <col min="8453" max="8457" width="7.75" style="1" customWidth="1"/>
    <col min="8458" max="8458" width="28.75" style="1" customWidth="1"/>
    <col min="8459" max="8704" width="8.75" style="1"/>
    <col min="8705" max="8705" width="4.5" style="1" customWidth="1"/>
    <col min="8706" max="8706" width="22.625" style="1" customWidth="1"/>
    <col min="8707" max="8707" width="16.75" style="1" customWidth="1"/>
    <col min="8708" max="8708" width="10.25" style="1" customWidth="1"/>
    <col min="8709" max="8713" width="7.75" style="1" customWidth="1"/>
    <col min="8714" max="8714" width="28.75" style="1" customWidth="1"/>
    <col min="8715" max="8960" width="8.75" style="1"/>
    <col min="8961" max="8961" width="4.5" style="1" customWidth="1"/>
    <col min="8962" max="8962" width="22.625" style="1" customWidth="1"/>
    <col min="8963" max="8963" width="16.75" style="1" customWidth="1"/>
    <col min="8964" max="8964" width="10.25" style="1" customWidth="1"/>
    <col min="8965" max="8969" width="7.75" style="1" customWidth="1"/>
    <col min="8970" max="8970" width="28.75" style="1" customWidth="1"/>
    <col min="8971" max="9216" width="8.75" style="1"/>
    <col min="9217" max="9217" width="4.5" style="1" customWidth="1"/>
    <col min="9218" max="9218" width="22.625" style="1" customWidth="1"/>
    <col min="9219" max="9219" width="16.75" style="1" customWidth="1"/>
    <col min="9220" max="9220" width="10.25" style="1" customWidth="1"/>
    <col min="9221" max="9225" width="7.75" style="1" customWidth="1"/>
    <col min="9226" max="9226" width="28.75" style="1" customWidth="1"/>
    <col min="9227" max="9472" width="8.75" style="1"/>
    <col min="9473" max="9473" width="4.5" style="1" customWidth="1"/>
    <col min="9474" max="9474" width="22.625" style="1" customWidth="1"/>
    <col min="9475" max="9475" width="16.75" style="1" customWidth="1"/>
    <col min="9476" max="9476" width="10.25" style="1" customWidth="1"/>
    <col min="9477" max="9481" width="7.75" style="1" customWidth="1"/>
    <col min="9482" max="9482" width="28.75" style="1" customWidth="1"/>
    <col min="9483" max="9728" width="8.75" style="1"/>
    <col min="9729" max="9729" width="4.5" style="1" customWidth="1"/>
    <col min="9730" max="9730" width="22.625" style="1" customWidth="1"/>
    <col min="9731" max="9731" width="16.75" style="1" customWidth="1"/>
    <col min="9732" max="9732" width="10.25" style="1" customWidth="1"/>
    <col min="9733" max="9737" width="7.75" style="1" customWidth="1"/>
    <col min="9738" max="9738" width="28.75" style="1" customWidth="1"/>
    <col min="9739" max="9984" width="8.75" style="1"/>
    <col min="9985" max="9985" width="4.5" style="1" customWidth="1"/>
    <col min="9986" max="9986" width="22.625" style="1" customWidth="1"/>
    <col min="9987" max="9987" width="16.75" style="1" customWidth="1"/>
    <col min="9988" max="9988" width="10.25" style="1" customWidth="1"/>
    <col min="9989" max="9993" width="7.75" style="1" customWidth="1"/>
    <col min="9994" max="9994" width="28.75" style="1" customWidth="1"/>
    <col min="9995" max="10240" width="8.75" style="1"/>
    <col min="10241" max="10241" width="4.5" style="1" customWidth="1"/>
    <col min="10242" max="10242" width="22.625" style="1" customWidth="1"/>
    <col min="10243" max="10243" width="16.75" style="1" customWidth="1"/>
    <col min="10244" max="10244" width="10.25" style="1" customWidth="1"/>
    <col min="10245" max="10249" width="7.75" style="1" customWidth="1"/>
    <col min="10250" max="10250" width="28.75" style="1" customWidth="1"/>
    <col min="10251" max="10496" width="8.75" style="1"/>
    <col min="10497" max="10497" width="4.5" style="1" customWidth="1"/>
    <col min="10498" max="10498" width="22.625" style="1" customWidth="1"/>
    <col min="10499" max="10499" width="16.75" style="1" customWidth="1"/>
    <col min="10500" max="10500" width="10.25" style="1" customWidth="1"/>
    <col min="10501" max="10505" width="7.75" style="1" customWidth="1"/>
    <col min="10506" max="10506" width="28.75" style="1" customWidth="1"/>
    <col min="10507" max="10752" width="8.75" style="1"/>
    <col min="10753" max="10753" width="4.5" style="1" customWidth="1"/>
    <col min="10754" max="10754" width="22.625" style="1" customWidth="1"/>
    <col min="10755" max="10755" width="16.75" style="1" customWidth="1"/>
    <col min="10756" max="10756" width="10.25" style="1" customWidth="1"/>
    <col min="10757" max="10761" width="7.75" style="1" customWidth="1"/>
    <col min="10762" max="10762" width="28.75" style="1" customWidth="1"/>
    <col min="10763" max="11008" width="8.75" style="1"/>
    <col min="11009" max="11009" width="4.5" style="1" customWidth="1"/>
    <col min="11010" max="11010" width="22.625" style="1" customWidth="1"/>
    <col min="11011" max="11011" width="16.75" style="1" customWidth="1"/>
    <col min="11012" max="11012" width="10.25" style="1" customWidth="1"/>
    <col min="11013" max="11017" width="7.75" style="1" customWidth="1"/>
    <col min="11018" max="11018" width="28.75" style="1" customWidth="1"/>
    <col min="11019" max="11264" width="8.75" style="1"/>
    <col min="11265" max="11265" width="4.5" style="1" customWidth="1"/>
    <col min="11266" max="11266" width="22.625" style="1" customWidth="1"/>
    <col min="11267" max="11267" width="16.75" style="1" customWidth="1"/>
    <col min="11268" max="11268" width="10.25" style="1" customWidth="1"/>
    <col min="11269" max="11273" width="7.75" style="1" customWidth="1"/>
    <col min="11274" max="11274" width="28.75" style="1" customWidth="1"/>
    <col min="11275" max="11520" width="8.75" style="1"/>
    <col min="11521" max="11521" width="4.5" style="1" customWidth="1"/>
    <col min="11522" max="11522" width="22.625" style="1" customWidth="1"/>
    <col min="11523" max="11523" width="16.75" style="1" customWidth="1"/>
    <col min="11524" max="11524" width="10.25" style="1" customWidth="1"/>
    <col min="11525" max="11529" width="7.75" style="1" customWidth="1"/>
    <col min="11530" max="11530" width="28.75" style="1" customWidth="1"/>
    <col min="11531" max="11776" width="8.75" style="1"/>
    <col min="11777" max="11777" width="4.5" style="1" customWidth="1"/>
    <col min="11778" max="11778" width="22.625" style="1" customWidth="1"/>
    <col min="11779" max="11779" width="16.75" style="1" customWidth="1"/>
    <col min="11780" max="11780" width="10.25" style="1" customWidth="1"/>
    <col min="11781" max="11785" width="7.75" style="1" customWidth="1"/>
    <col min="11786" max="11786" width="28.75" style="1" customWidth="1"/>
    <col min="11787" max="12032" width="8.75" style="1"/>
    <col min="12033" max="12033" width="4.5" style="1" customWidth="1"/>
    <col min="12034" max="12034" width="22.625" style="1" customWidth="1"/>
    <col min="12035" max="12035" width="16.75" style="1" customWidth="1"/>
    <col min="12036" max="12036" width="10.25" style="1" customWidth="1"/>
    <col min="12037" max="12041" width="7.75" style="1" customWidth="1"/>
    <col min="12042" max="12042" width="28.75" style="1" customWidth="1"/>
    <col min="12043" max="12288" width="8.75" style="1"/>
    <col min="12289" max="12289" width="4.5" style="1" customWidth="1"/>
    <col min="12290" max="12290" width="22.625" style="1" customWidth="1"/>
    <col min="12291" max="12291" width="16.75" style="1" customWidth="1"/>
    <col min="12292" max="12292" width="10.25" style="1" customWidth="1"/>
    <col min="12293" max="12297" width="7.75" style="1" customWidth="1"/>
    <col min="12298" max="12298" width="28.75" style="1" customWidth="1"/>
    <col min="12299" max="12544" width="8.75" style="1"/>
    <col min="12545" max="12545" width="4.5" style="1" customWidth="1"/>
    <col min="12546" max="12546" width="22.625" style="1" customWidth="1"/>
    <col min="12547" max="12547" width="16.75" style="1" customWidth="1"/>
    <col min="12548" max="12548" width="10.25" style="1" customWidth="1"/>
    <col min="12549" max="12553" width="7.75" style="1" customWidth="1"/>
    <col min="12554" max="12554" width="28.75" style="1" customWidth="1"/>
    <col min="12555" max="12800" width="8.75" style="1"/>
    <col min="12801" max="12801" width="4.5" style="1" customWidth="1"/>
    <col min="12802" max="12802" width="22.625" style="1" customWidth="1"/>
    <col min="12803" max="12803" width="16.75" style="1" customWidth="1"/>
    <col min="12804" max="12804" width="10.25" style="1" customWidth="1"/>
    <col min="12805" max="12809" width="7.75" style="1" customWidth="1"/>
    <col min="12810" max="12810" width="28.75" style="1" customWidth="1"/>
    <col min="12811" max="13056" width="8.75" style="1"/>
    <col min="13057" max="13057" width="4.5" style="1" customWidth="1"/>
    <col min="13058" max="13058" width="22.625" style="1" customWidth="1"/>
    <col min="13059" max="13059" width="16.75" style="1" customWidth="1"/>
    <col min="13060" max="13060" width="10.25" style="1" customWidth="1"/>
    <col min="13061" max="13065" width="7.75" style="1" customWidth="1"/>
    <col min="13066" max="13066" width="28.75" style="1" customWidth="1"/>
    <col min="13067" max="13312" width="8.75" style="1"/>
    <col min="13313" max="13313" width="4.5" style="1" customWidth="1"/>
    <col min="13314" max="13314" width="22.625" style="1" customWidth="1"/>
    <col min="13315" max="13315" width="16.75" style="1" customWidth="1"/>
    <col min="13316" max="13316" width="10.25" style="1" customWidth="1"/>
    <col min="13317" max="13321" width="7.75" style="1" customWidth="1"/>
    <col min="13322" max="13322" width="28.75" style="1" customWidth="1"/>
    <col min="13323" max="13568" width="8.75" style="1"/>
    <col min="13569" max="13569" width="4.5" style="1" customWidth="1"/>
    <col min="13570" max="13570" width="22.625" style="1" customWidth="1"/>
    <col min="13571" max="13571" width="16.75" style="1" customWidth="1"/>
    <col min="13572" max="13572" width="10.25" style="1" customWidth="1"/>
    <col min="13573" max="13577" width="7.75" style="1" customWidth="1"/>
    <col min="13578" max="13578" width="28.75" style="1" customWidth="1"/>
    <col min="13579" max="13824" width="8.75" style="1"/>
    <col min="13825" max="13825" width="4.5" style="1" customWidth="1"/>
    <col min="13826" max="13826" width="22.625" style="1" customWidth="1"/>
    <col min="13827" max="13827" width="16.75" style="1" customWidth="1"/>
    <col min="13828" max="13828" width="10.25" style="1" customWidth="1"/>
    <col min="13829" max="13833" width="7.75" style="1" customWidth="1"/>
    <col min="13834" max="13834" width="28.75" style="1" customWidth="1"/>
    <col min="13835" max="14080" width="8.75" style="1"/>
    <col min="14081" max="14081" width="4.5" style="1" customWidth="1"/>
    <col min="14082" max="14082" width="22.625" style="1" customWidth="1"/>
    <col min="14083" max="14083" width="16.75" style="1" customWidth="1"/>
    <col min="14084" max="14084" width="10.25" style="1" customWidth="1"/>
    <col min="14085" max="14089" width="7.75" style="1" customWidth="1"/>
    <col min="14090" max="14090" width="28.75" style="1" customWidth="1"/>
    <col min="14091" max="14336" width="8.75" style="1"/>
    <col min="14337" max="14337" width="4.5" style="1" customWidth="1"/>
    <col min="14338" max="14338" width="22.625" style="1" customWidth="1"/>
    <col min="14339" max="14339" width="16.75" style="1" customWidth="1"/>
    <col min="14340" max="14340" width="10.25" style="1" customWidth="1"/>
    <col min="14341" max="14345" width="7.75" style="1" customWidth="1"/>
    <col min="14346" max="14346" width="28.75" style="1" customWidth="1"/>
    <col min="14347" max="14592" width="8.75" style="1"/>
    <col min="14593" max="14593" width="4.5" style="1" customWidth="1"/>
    <col min="14594" max="14594" width="22.625" style="1" customWidth="1"/>
    <col min="14595" max="14595" width="16.75" style="1" customWidth="1"/>
    <col min="14596" max="14596" width="10.25" style="1" customWidth="1"/>
    <col min="14597" max="14601" width="7.75" style="1" customWidth="1"/>
    <col min="14602" max="14602" width="28.75" style="1" customWidth="1"/>
    <col min="14603" max="14848" width="8.75" style="1"/>
    <col min="14849" max="14849" width="4.5" style="1" customWidth="1"/>
    <col min="14850" max="14850" width="22.625" style="1" customWidth="1"/>
    <col min="14851" max="14851" width="16.75" style="1" customWidth="1"/>
    <col min="14852" max="14852" width="10.25" style="1" customWidth="1"/>
    <col min="14853" max="14857" width="7.75" style="1" customWidth="1"/>
    <col min="14858" max="14858" width="28.75" style="1" customWidth="1"/>
    <col min="14859" max="15104" width="8.75" style="1"/>
    <col min="15105" max="15105" width="4.5" style="1" customWidth="1"/>
    <col min="15106" max="15106" width="22.625" style="1" customWidth="1"/>
    <col min="15107" max="15107" width="16.75" style="1" customWidth="1"/>
    <col min="15108" max="15108" width="10.25" style="1" customWidth="1"/>
    <col min="15109" max="15113" width="7.75" style="1" customWidth="1"/>
    <col min="15114" max="15114" width="28.75" style="1" customWidth="1"/>
    <col min="15115" max="15360" width="8.75" style="1"/>
    <col min="15361" max="15361" width="4.5" style="1" customWidth="1"/>
    <col min="15362" max="15362" width="22.625" style="1" customWidth="1"/>
    <col min="15363" max="15363" width="16.75" style="1" customWidth="1"/>
    <col min="15364" max="15364" width="10.25" style="1" customWidth="1"/>
    <col min="15365" max="15369" width="7.75" style="1" customWidth="1"/>
    <col min="15370" max="15370" width="28.75" style="1" customWidth="1"/>
    <col min="15371" max="15616" width="8.75" style="1"/>
    <col min="15617" max="15617" width="4.5" style="1" customWidth="1"/>
    <col min="15618" max="15618" width="22.625" style="1" customWidth="1"/>
    <col min="15619" max="15619" width="16.75" style="1" customWidth="1"/>
    <col min="15620" max="15620" width="10.25" style="1" customWidth="1"/>
    <col min="15621" max="15625" width="7.75" style="1" customWidth="1"/>
    <col min="15626" max="15626" width="28.75" style="1" customWidth="1"/>
    <col min="15627" max="15872" width="8.75" style="1"/>
    <col min="15873" max="15873" width="4.5" style="1" customWidth="1"/>
    <col min="15874" max="15874" width="22.625" style="1" customWidth="1"/>
    <col min="15875" max="15875" width="16.75" style="1" customWidth="1"/>
    <col min="15876" max="15876" width="10.25" style="1" customWidth="1"/>
    <col min="15877" max="15881" width="7.75" style="1" customWidth="1"/>
    <col min="15882" max="15882" width="28.75" style="1" customWidth="1"/>
    <col min="15883" max="16128" width="8.75" style="1"/>
    <col min="16129" max="16129" width="4.5" style="1" customWidth="1"/>
    <col min="16130" max="16130" width="22.625" style="1" customWidth="1"/>
    <col min="16131" max="16131" width="16.75" style="1" customWidth="1"/>
    <col min="16132" max="16132" width="10.25" style="1" customWidth="1"/>
    <col min="16133" max="16137" width="7.75" style="1" customWidth="1"/>
    <col min="16138" max="16138" width="28.75" style="1" customWidth="1"/>
    <col min="16139" max="16384" width="8.75" style="1"/>
  </cols>
  <sheetData>
    <row r="1" spans="1:12">
      <c r="A1" s="1" t="s">
        <v>0</v>
      </c>
      <c r="J1" s="20" t="s">
        <v>1</v>
      </c>
    </row>
    <row r="2" spans="1:12">
      <c r="B2" s="21" t="s">
        <v>2</v>
      </c>
      <c r="C2" s="22"/>
      <c r="D2" s="21" t="s">
        <v>3</v>
      </c>
      <c r="E2" s="22"/>
      <c r="F2" s="23"/>
      <c r="G2" s="24"/>
      <c r="H2" s="25" t="s">
        <v>4</v>
      </c>
      <c r="I2" s="25" t="s">
        <v>5</v>
      </c>
      <c r="J2" s="25" t="s">
        <v>6</v>
      </c>
    </row>
    <row r="3" spans="1:12" ht="18" customHeight="1">
      <c r="B3" s="26"/>
      <c r="C3" s="27"/>
      <c r="D3" s="28"/>
      <c r="E3" s="29"/>
      <c r="F3" s="30"/>
      <c r="G3" s="31"/>
      <c r="H3" s="32"/>
      <c r="I3" s="32"/>
      <c r="J3" s="32"/>
    </row>
    <row r="4" spans="1:12">
      <c r="B4" s="3" t="s">
        <v>21</v>
      </c>
      <c r="C4" s="3" t="s">
        <v>22</v>
      </c>
      <c r="D4" s="33" t="s">
        <v>7</v>
      </c>
      <c r="E4" s="34"/>
      <c r="F4" s="34"/>
      <c r="G4" s="24"/>
      <c r="H4" s="35"/>
      <c r="I4" s="32"/>
      <c r="J4" s="32"/>
    </row>
    <row r="5" spans="1:12" ht="18" customHeight="1">
      <c r="B5" s="36" t="s">
        <v>70</v>
      </c>
      <c r="C5" s="36" t="s">
        <v>136</v>
      </c>
      <c r="D5" s="37"/>
      <c r="E5" s="38"/>
      <c r="F5" s="39"/>
      <c r="G5" s="31"/>
      <c r="H5" s="40"/>
      <c r="I5" s="40"/>
      <c r="J5" s="40"/>
    </row>
    <row r="6" spans="1:12" ht="4.1500000000000004" customHeight="1"/>
    <row r="7" spans="1:12" s="8" customFormat="1" ht="17.45" customHeight="1">
      <c r="A7" s="4" t="s">
        <v>8</v>
      </c>
      <c r="B7" s="5" t="s">
        <v>23</v>
      </c>
      <c r="C7" s="5" t="s">
        <v>24</v>
      </c>
      <c r="D7" s="5" t="s">
        <v>9</v>
      </c>
      <c r="E7" s="5" t="s">
        <v>10</v>
      </c>
      <c r="F7" s="5" t="s">
        <v>11</v>
      </c>
      <c r="G7" s="5" t="s">
        <v>12</v>
      </c>
      <c r="H7" s="6" t="s">
        <v>13</v>
      </c>
      <c r="I7" s="5" t="s">
        <v>14</v>
      </c>
      <c r="J7" s="7" t="s">
        <v>15</v>
      </c>
    </row>
    <row r="8" spans="1:12" ht="15" hidden="1" customHeight="1">
      <c r="A8" s="48">
        <v>1</v>
      </c>
      <c r="B8" s="49" t="s">
        <v>16</v>
      </c>
      <c r="C8" s="50" t="s">
        <v>17</v>
      </c>
      <c r="D8" s="49" t="s">
        <v>61</v>
      </c>
      <c r="E8" s="49">
        <v>11</v>
      </c>
      <c r="F8" s="49"/>
      <c r="G8" s="51" t="s">
        <v>19</v>
      </c>
      <c r="H8" s="51" t="s">
        <v>20</v>
      </c>
      <c r="I8" s="49"/>
      <c r="J8" s="52"/>
      <c r="K8" s="53"/>
      <c r="L8" s="41"/>
    </row>
    <row r="9" spans="1:12" s="13" customFormat="1" ht="24.95" customHeight="1">
      <c r="A9" s="14">
        <f>IF(B9="","",ROW()-8)</f>
        <v>1</v>
      </c>
      <c r="B9" s="65" t="s">
        <v>246</v>
      </c>
      <c r="C9" s="9" t="s">
        <v>137</v>
      </c>
      <c r="D9" s="55" t="s">
        <v>61</v>
      </c>
      <c r="E9" s="55">
        <v>3</v>
      </c>
      <c r="F9" s="55"/>
      <c r="G9" s="10" t="s">
        <v>19</v>
      </c>
      <c r="H9" s="10" t="s">
        <v>66</v>
      </c>
      <c r="I9" s="10"/>
      <c r="J9" s="55"/>
      <c r="K9" s="1"/>
      <c r="L9" s="12"/>
    </row>
    <row r="10" spans="1:12" s="13" customFormat="1" ht="24.95" customHeight="1">
      <c r="A10" s="14">
        <f>IF(B10="","",ROW()-8)</f>
        <v>2</v>
      </c>
      <c r="B10" s="65" t="s">
        <v>211</v>
      </c>
      <c r="C10" s="9" t="s">
        <v>138</v>
      </c>
      <c r="D10" s="55" t="s">
        <v>60</v>
      </c>
      <c r="E10" s="55">
        <v>30</v>
      </c>
      <c r="F10" s="55"/>
      <c r="G10" s="10" t="s">
        <v>19</v>
      </c>
      <c r="H10" s="10"/>
      <c r="I10" s="10"/>
      <c r="J10" s="55"/>
      <c r="K10" s="1"/>
      <c r="L10" s="12"/>
    </row>
    <row r="11" spans="1:12" s="13" customFormat="1" ht="24.95" customHeight="1">
      <c r="A11" s="14">
        <f t="shared" ref="A11:A14" si="0">IF(B11="","",ROW()-8)</f>
        <v>3</v>
      </c>
      <c r="B11" s="65" t="s">
        <v>216</v>
      </c>
      <c r="C11" s="9" t="s">
        <v>202</v>
      </c>
      <c r="D11" s="55" t="s">
        <v>60</v>
      </c>
      <c r="E11" s="55">
        <v>20</v>
      </c>
      <c r="F11" s="55"/>
      <c r="G11" s="10" t="s">
        <v>62</v>
      </c>
      <c r="H11" s="10"/>
      <c r="I11" s="10"/>
      <c r="J11" s="55"/>
      <c r="K11" s="1"/>
      <c r="L11" s="12"/>
    </row>
    <row r="12" spans="1:12" s="13" customFormat="1" ht="24.95" customHeight="1">
      <c r="A12" s="14">
        <f t="shared" si="0"/>
        <v>4</v>
      </c>
      <c r="B12" s="65" t="s">
        <v>213</v>
      </c>
      <c r="C12" s="9" t="s">
        <v>203</v>
      </c>
      <c r="D12" s="55" t="s">
        <v>60</v>
      </c>
      <c r="E12" s="55">
        <v>20</v>
      </c>
      <c r="F12" s="55"/>
      <c r="G12" s="10" t="s">
        <v>62</v>
      </c>
      <c r="H12" s="10"/>
      <c r="I12" s="10"/>
      <c r="J12" s="55"/>
      <c r="K12" s="1"/>
      <c r="L12" s="12"/>
    </row>
    <row r="13" spans="1:12" s="13" customFormat="1" ht="24.95" customHeight="1">
      <c r="A13" s="14">
        <f t="shared" si="0"/>
        <v>5</v>
      </c>
      <c r="B13" s="65" t="s">
        <v>214</v>
      </c>
      <c r="C13" s="9" t="s">
        <v>204</v>
      </c>
      <c r="D13" s="55" t="s">
        <v>60</v>
      </c>
      <c r="E13" s="55">
        <v>20</v>
      </c>
      <c r="F13" s="55"/>
      <c r="G13" s="10" t="s">
        <v>62</v>
      </c>
      <c r="H13" s="10"/>
      <c r="I13" s="10"/>
      <c r="J13" s="55"/>
      <c r="K13" s="1"/>
      <c r="L13" s="12"/>
    </row>
    <row r="14" spans="1:12" s="13" customFormat="1" ht="24.95" customHeight="1">
      <c r="A14" s="14">
        <f t="shared" si="0"/>
        <v>6</v>
      </c>
      <c r="B14" s="65" t="s">
        <v>215</v>
      </c>
      <c r="C14" s="9" t="s">
        <v>205</v>
      </c>
      <c r="D14" s="55" t="s">
        <v>60</v>
      </c>
      <c r="E14" s="55">
        <v>20</v>
      </c>
      <c r="F14" s="55"/>
      <c r="G14" s="10" t="s">
        <v>62</v>
      </c>
      <c r="H14" s="10"/>
      <c r="I14" s="10"/>
      <c r="J14" s="55"/>
      <c r="K14" s="1"/>
      <c r="L14" s="12"/>
    </row>
    <row r="15" spans="1:12" s="13" customFormat="1" ht="24.95" customHeight="1">
      <c r="A15" s="14">
        <f t="shared" ref="A15:A41" si="1">IF(B15="","",ROW()-8)</f>
        <v>7</v>
      </c>
      <c r="B15" s="65" t="s">
        <v>71</v>
      </c>
      <c r="C15" s="9" t="s">
        <v>139</v>
      </c>
      <c r="D15" s="55" t="s">
        <v>61</v>
      </c>
      <c r="E15" s="55">
        <v>1</v>
      </c>
      <c r="F15" s="55"/>
      <c r="G15" s="10" t="s">
        <v>19</v>
      </c>
      <c r="H15" s="10" t="s">
        <v>66</v>
      </c>
      <c r="I15" s="10"/>
      <c r="J15" s="55"/>
      <c r="K15" s="1"/>
      <c r="L15" s="12"/>
    </row>
    <row r="16" spans="1:12" s="13" customFormat="1" ht="24.95" customHeight="1">
      <c r="A16" s="14">
        <f t="shared" si="1"/>
        <v>8</v>
      </c>
      <c r="B16" s="65" t="s">
        <v>247</v>
      </c>
      <c r="C16" s="9" t="s">
        <v>140</v>
      </c>
      <c r="D16" s="55" t="s">
        <v>60</v>
      </c>
      <c r="E16" s="55">
        <v>20</v>
      </c>
      <c r="F16" s="55"/>
      <c r="G16" s="10" t="s">
        <v>19</v>
      </c>
      <c r="H16" s="10"/>
      <c r="I16" s="10"/>
      <c r="J16" s="55"/>
      <c r="K16" s="1"/>
      <c r="L16" s="12"/>
    </row>
    <row r="17" spans="1:12" s="13" customFormat="1" ht="24.95" customHeight="1">
      <c r="A17" s="14" t="str">
        <f t="shared" si="1"/>
        <v/>
      </c>
      <c r="B17" s="65"/>
      <c r="C17" s="9"/>
      <c r="D17" s="55"/>
      <c r="E17" s="55"/>
      <c r="F17" s="55"/>
      <c r="G17" s="10"/>
      <c r="H17" s="10"/>
      <c r="I17" s="10"/>
      <c r="J17" s="55"/>
      <c r="K17" s="1"/>
      <c r="L17" s="12"/>
    </row>
    <row r="18" spans="1:12" s="13" customFormat="1" ht="24.95" customHeight="1">
      <c r="A18" s="14" t="str">
        <f t="shared" si="1"/>
        <v/>
      </c>
      <c r="B18" s="66"/>
      <c r="C18" s="9"/>
      <c r="D18" s="55"/>
      <c r="E18" s="55"/>
      <c r="F18" s="55"/>
      <c r="G18" s="10"/>
      <c r="H18" s="10"/>
      <c r="I18" s="10"/>
      <c r="J18" s="55"/>
      <c r="K18" s="63"/>
      <c r="L18" s="12"/>
    </row>
    <row r="19" spans="1:12" s="13" customFormat="1" ht="24.95" customHeight="1">
      <c r="A19" s="14" t="str">
        <f t="shared" si="1"/>
        <v/>
      </c>
      <c r="B19" s="55"/>
      <c r="C19" s="9"/>
      <c r="D19" s="55"/>
      <c r="E19" s="55"/>
      <c r="F19" s="55"/>
      <c r="G19" s="10"/>
      <c r="H19" s="10"/>
      <c r="I19" s="10"/>
      <c r="J19" s="55"/>
      <c r="K19" s="63"/>
      <c r="L19" s="12"/>
    </row>
    <row r="20" spans="1:12" s="13" customFormat="1" ht="24.95" customHeight="1">
      <c r="A20" s="14" t="str">
        <f t="shared" si="1"/>
        <v/>
      </c>
      <c r="B20" s="55"/>
      <c r="C20" s="9"/>
      <c r="D20" s="55"/>
      <c r="E20" s="55"/>
      <c r="F20" s="55"/>
      <c r="G20" s="10"/>
      <c r="H20" s="10"/>
      <c r="I20" s="10"/>
      <c r="J20" s="55"/>
      <c r="K20" s="63"/>
      <c r="L20" s="12"/>
    </row>
    <row r="21" spans="1:12" s="13" customFormat="1" ht="24.95" customHeight="1">
      <c r="A21" s="14" t="str">
        <f t="shared" si="1"/>
        <v/>
      </c>
      <c r="B21" s="55"/>
      <c r="C21" s="9"/>
      <c r="D21" s="55"/>
      <c r="E21" s="55"/>
      <c r="F21" s="55"/>
      <c r="G21" s="10"/>
      <c r="H21" s="10"/>
      <c r="I21" s="10"/>
      <c r="J21" s="55"/>
      <c r="K21" s="63"/>
      <c r="L21" s="12"/>
    </row>
    <row r="22" spans="1:12" s="13" customFormat="1" ht="24.95" customHeight="1">
      <c r="A22" s="14" t="str">
        <f t="shared" si="1"/>
        <v/>
      </c>
      <c r="B22" s="54"/>
      <c r="C22" s="54"/>
      <c r="D22" s="55"/>
      <c r="E22" s="55"/>
      <c r="F22" s="55"/>
      <c r="G22" s="10"/>
      <c r="H22" s="10"/>
      <c r="I22" s="10"/>
      <c r="J22" s="55"/>
      <c r="K22" s="63"/>
      <c r="L22" s="12"/>
    </row>
    <row r="23" spans="1:12" s="13" customFormat="1" ht="24.95" customHeight="1">
      <c r="A23" s="14" t="str">
        <f t="shared" si="1"/>
        <v/>
      </c>
      <c r="B23" s="54"/>
      <c r="C23" s="54"/>
      <c r="D23" s="55"/>
      <c r="E23" s="55"/>
      <c r="F23" s="55"/>
      <c r="G23" s="10"/>
      <c r="H23" s="10"/>
      <c r="I23" s="10"/>
      <c r="J23" s="55"/>
      <c r="K23" s="63"/>
      <c r="L23" s="12"/>
    </row>
    <row r="24" spans="1:12" s="13" customFormat="1" ht="24.95" customHeight="1">
      <c r="A24" s="14" t="str">
        <f t="shared" si="1"/>
        <v/>
      </c>
      <c r="B24" s="55"/>
      <c r="C24" s="9"/>
      <c r="D24" s="55"/>
      <c r="E24" s="55"/>
      <c r="F24" s="55"/>
      <c r="G24" s="10"/>
      <c r="H24" s="10"/>
      <c r="I24" s="10"/>
      <c r="J24" s="55"/>
      <c r="K24" s="63"/>
      <c r="L24" s="12"/>
    </row>
    <row r="25" spans="1:12" s="13" customFormat="1" ht="24.95" customHeight="1">
      <c r="A25" s="14" t="str">
        <f t="shared" si="1"/>
        <v/>
      </c>
      <c r="B25" s="55"/>
      <c r="C25" s="9"/>
      <c r="D25" s="55"/>
      <c r="E25" s="55"/>
      <c r="F25" s="55"/>
      <c r="G25" s="10"/>
      <c r="H25" s="10"/>
      <c r="I25" s="55"/>
      <c r="J25" s="55"/>
      <c r="K25" s="63"/>
      <c r="L25" s="12"/>
    </row>
    <row r="26" spans="1:12" s="13" customFormat="1" ht="24.95" customHeight="1">
      <c r="A26" s="14" t="str">
        <f t="shared" si="1"/>
        <v/>
      </c>
      <c r="B26" s="55"/>
      <c r="C26" s="9"/>
      <c r="D26" s="55"/>
      <c r="E26" s="55"/>
      <c r="F26" s="55"/>
      <c r="G26" s="10"/>
      <c r="H26" s="10"/>
      <c r="I26" s="55"/>
      <c r="J26" s="55"/>
      <c r="K26" s="63"/>
      <c r="L26" s="12"/>
    </row>
    <row r="27" spans="1:12" s="13" customFormat="1" ht="24.95" customHeight="1">
      <c r="A27" s="14" t="str">
        <f t="shared" si="1"/>
        <v/>
      </c>
      <c r="B27" s="55"/>
      <c r="C27" s="9"/>
      <c r="D27" s="55"/>
      <c r="E27" s="55"/>
      <c r="F27" s="55"/>
      <c r="G27" s="10"/>
      <c r="H27" s="10"/>
      <c r="I27" s="55"/>
      <c r="J27" s="55"/>
      <c r="K27" s="63"/>
      <c r="L27" s="12"/>
    </row>
    <row r="28" spans="1:12" s="13" customFormat="1" ht="24.95" customHeight="1">
      <c r="A28" s="14" t="str">
        <f t="shared" si="1"/>
        <v/>
      </c>
      <c r="B28" s="55"/>
      <c r="C28" s="9"/>
      <c r="D28" s="55"/>
      <c r="E28" s="55"/>
      <c r="F28" s="55"/>
      <c r="G28" s="10"/>
      <c r="H28" s="10"/>
      <c r="I28" s="55"/>
      <c r="J28" s="55"/>
      <c r="K28" s="63"/>
      <c r="L28" s="12"/>
    </row>
    <row r="29" spans="1:12" ht="24.95" customHeight="1">
      <c r="A29" s="42" t="str">
        <f t="shared" si="1"/>
        <v/>
      </c>
      <c r="B29" s="43"/>
      <c r="C29" s="44"/>
      <c r="D29" s="43"/>
      <c r="E29" s="43"/>
      <c r="F29" s="43"/>
      <c r="G29" s="45"/>
      <c r="H29" s="45"/>
      <c r="I29" s="43"/>
      <c r="J29" s="43"/>
      <c r="K29" s="41"/>
      <c r="L29" s="41"/>
    </row>
    <row r="30" spans="1:12" ht="24.95" customHeight="1">
      <c r="A30" s="42" t="str">
        <f t="shared" si="1"/>
        <v/>
      </c>
      <c r="B30" s="43"/>
      <c r="C30" s="44"/>
      <c r="D30" s="43"/>
      <c r="E30" s="43"/>
      <c r="F30" s="43"/>
      <c r="G30" s="45"/>
      <c r="H30" s="45"/>
      <c r="I30" s="43"/>
      <c r="J30" s="43"/>
      <c r="K30" s="41"/>
      <c r="L30" s="41"/>
    </row>
    <row r="31" spans="1:12" ht="24.95" customHeight="1">
      <c r="A31" s="42" t="str">
        <f t="shared" si="1"/>
        <v/>
      </c>
      <c r="B31" s="43"/>
      <c r="C31" s="44"/>
      <c r="D31" s="43"/>
      <c r="E31" s="43"/>
      <c r="F31" s="43"/>
      <c r="G31" s="45"/>
      <c r="H31" s="45"/>
      <c r="I31" s="43"/>
      <c r="J31" s="43"/>
      <c r="K31" s="41"/>
      <c r="L31" s="41"/>
    </row>
    <row r="32" spans="1:12" ht="24.95" customHeight="1">
      <c r="A32" s="42" t="str">
        <f t="shared" si="1"/>
        <v/>
      </c>
      <c r="B32" s="46"/>
      <c r="C32" s="44"/>
      <c r="D32" s="46"/>
      <c r="E32" s="46"/>
      <c r="F32" s="43"/>
      <c r="G32" s="45"/>
      <c r="H32" s="45"/>
      <c r="I32" s="43"/>
      <c r="J32" s="47"/>
      <c r="K32" s="41"/>
      <c r="L32" s="41"/>
    </row>
    <row r="33" spans="1:12" ht="24.95" customHeight="1">
      <c r="A33" s="42" t="str">
        <f t="shared" si="1"/>
        <v/>
      </c>
      <c r="B33" s="46"/>
      <c r="C33" s="44"/>
      <c r="D33" s="46"/>
      <c r="E33" s="46"/>
      <c r="F33" s="43"/>
      <c r="G33" s="45"/>
      <c r="H33" s="45"/>
      <c r="I33" s="43"/>
      <c r="J33" s="47"/>
      <c r="K33" s="41"/>
      <c r="L33" s="41"/>
    </row>
    <row r="34" spans="1:12" ht="24.95" customHeight="1">
      <c r="A34" s="42" t="str">
        <f t="shared" si="1"/>
        <v/>
      </c>
      <c r="B34" s="46"/>
      <c r="C34" s="44"/>
      <c r="D34" s="46"/>
      <c r="E34" s="46"/>
      <c r="F34" s="43"/>
      <c r="G34" s="45"/>
      <c r="H34" s="45"/>
      <c r="I34" s="43"/>
      <c r="J34" s="47"/>
      <c r="K34" s="41"/>
      <c r="L34" s="41"/>
    </row>
    <row r="35" spans="1:12" ht="24.95" customHeight="1">
      <c r="A35" s="42" t="str">
        <f t="shared" si="1"/>
        <v/>
      </c>
      <c r="B35" s="46"/>
      <c r="C35" s="44"/>
      <c r="D35" s="46"/>
      <c r="E35" s="46"/>
      <c r="F35" s="43"/>
      <c r="G35" s="45"/>
      <c r="H35" s="45"/>
      <c r="I35" s="43"/>
      <c r="J35" s="47"/>
      <c r="K35" s="41"/>
      <c r="L35" s="41"/>
    </row>
    <row r="36" spans="1:12" ht="24.95" customHeight="1">
      <c r="A36" s="42" t="str">
        <f t="shared" si="1"/>
        <v/>
      </c>
      <c r="B36" s="43"/>
      <c r="C36" s="44"/>
      <c r="D36" s="43"/>
      <c r="E36" s="43"/>
      <c r="F36" s="43"/>
      <c r="G36" s="45"/>
      <c r="H36" s="45"/>
      <c r="I36" s="43"/>
      <c r="J36" s="47"/>
      <c r="K36" s="41"/>
      <c r="L36" s="41"/>
    </row>
    <row r="37" spans="1:12" ht="24.95" customHeight="1">
      <c r="A37" s="42" t="str">
        <f t="shared" si="1"/>
        <v/>
      </c>
      <c r="B37" s="43"/>
      <c r="C37" s="44"/>
      <c r="D37" s="43"/>
      <c r="E37" s="43"/>
      <c r="F37" s="43"/>
      <c r="G37" s="45"/>
      <c r="H37" s="45"/>
      <c r="I37" s="43"/>
      <c r="J37" s="47"/>
      <c r="K37" s="41"/>
      <c r="L37" s="41"/>
    </row>
    <row r="38" spans="1:12" ht="24.95" customHeight="1">
      <c r="A38" s="42" t="str">
        <f t="shared" si="1"/>
        <v/>
      </c>
      <c r="B38" s="43"/>
      <c r="C38" s="44"/>
      <c r="D38" s="43"/>
      <c r="E38" s="43"/>
      <c r="F38" s="43"/>
      <c r="G38" s="45"/>
      <c r="H38" s="45"/>
      <c r="I38" s="43"/>
      <c r="J38" s="47"/>
      <c r="K38" s="41"/>
      <c r="L38" s="41"/>
    </row>
    <row r="39" spans="1:12" ht="24.95" customHeight="1">
      <c r="A39" s="42" t="str">
        <f t="shared" si="1"/>
        <v/>
      </c>
      <c r="B39" s="43"/>
      <c r="C39" s="44"/>
      <c r="D39" s="43"/>
      <c r="E39" s="43"/>
      <c r="F39" s="43"/>
      <c r="G39" s="45"/>
      <c r="H39" s="45"/>
      <c r="I39" s="43"/>
      <c r="J39" s="47"/>
      <c r="K39" s="41"/>
      <c r="L39" s="41"/>
    </row>
    <row r="40" spans="1:12" ht="24.95" customHeight="1">
      <c r="A40" s="42" t="str">
        <f t="shared" si="1"/>
        <v/>
      </c>
      <c r="B40" s="43"/>
      <c r="C40" s="44"/>
      <c r="D40" s="43"/>
      <c r="E40" s="43"/>
      <c r="F40" s="43"/>
      <c r="G40" s="45"/>
      <c r="H40" s="45"/>
      <c r="I40" s="43"/>
      <c r="J40" s="47"/>
      <c r="K40" s="41"/>
      <c r="L40" s="41"/>
    </row>
    <row r="41" spans="1:12" ht="24.95" customHeight="1">
      <c r="A41" s="42" t="str">
        <f t="shared" si="1"/>
        <v/>
      </c>
      <c r="B41" s="43"/>
      <c r="C41" s="44"/>
      <c r="D41" s="43"/>
      <c r="E41" s="43"/>
      <c r="F41" s="43"/>
      <c r="G41" s="45"/>
      <c r="H41" s="45"/>
      <c r="I41" s="43"/>
      <c r="J41" s="47"/>
      <c r="K41" s="41"/>
      <c r="L41" s="41"/>
    </row>
  </sheetData>
  <phoneticPr fontId="4"/>
  <hyperlinks>
    <hyperlink ref="J1" location="目次!A1" display="テーブル一覧へ" xr:uid="{7B990211-B98F-44A3-8D73-14FB6E64ED50}"/>
  </hyperlinks>
  <pageMargins left="0.39370078740157483" right="0.39370078740157483" top="0.74803149606299213" bottom="0.39370078740157483" header="0.31496062992125984" footer="0.19685039370078741"/>
  <pageSetup paperSize="9" orientation="landscape" r:id="rId1"/>
  <headerFooter>
    <oddHeader>&amp;L&amp;9&amp;F&amp;R&amp;9&amp;A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A126E-22EE-425F-AD3B-AE553D31027F}">
  <sheetPr codeName="Sheet3"/>
  <dimension ref="B4:J20"/>
  <sheetViews>
    <sheetView workbookViewId="0">
      <pane ySplit="5" topLeftCell="A12" activePane="bottomLeft" state="frozen"/>
      <selection pane="bottomLeft" activeCell="K26" sqref="K26"/>
    </sheetView>
  </sheetViews>
  <sheetFormatPr defaultRowHeight="18.75"/>
  <cols>
    <col min="2" max="2" width="3.75" bestFit="1" customWidth="1"/>
    <col min="9" max="9" width="3.25" bestFit="1" customWidth="1"/>
    <col min="10" max="10" width="19.25" customWidth="1"/>
  </cols>
  <sheetData>
    <row r="4" spans="2:10" s="93" customFormat="1" ht="13.5">
      <c r="B4" s="146" t="s">
        <v>31</v>
      </c>
      <c r="C4" s="7" t="s">
        <v>208</v>
      </c>
      <c r="D4" s="113" t="s">
        <v>209</v>
      </c>
      <c r="E4" s="113" t="s">
        <v>212</v>
      </c>
      <c r="F4" s="113" t="s">
        <v>213</v>
      </c>
      <c r="G4" s="113" t="s">
        <v>214</v>
      </c>
      <c r="H4" s="113" t="s">
        <v>215</v>
      </c>
      <c r="I4" s="7" t="s">
        <v>127</v>
      </c>
      <c r="J4" s="7" t="s">
        <v>128</v>
      </c>
    </row>
    <row r="5" spans="2:10" s="93" customFormat="1" ht="13.5">
      <c r="B5" s="147"/>
      <c r="C5" s="7" t="s">
        <v>210</v>
      </c>
      <c r="D5" s="113" t="s">
        <v>129</v>
      </c>
      <c r="E5" s="113" t="s">
        <v>202</v>
      </c>
      <c r="F5" s="113" t="s">
        <v>203</v>
      </c>
      <c r="G5" s="113" t="s">
        <v>204</v>
      </c>
      <c r="H5" s="113" t="s">
        <v>205</v>
      </c>
      <c r="I5" s="7" t="s">
        <v>127</v>
      </c>
      <c r="J5" s="7" t="s">
        <v>130</v>
      </c>
    </row>
    <row r="6" spans="2:10">
      <c r="B6" s="14">
        <f>IF(C6="","",ROW()-5)</f>
        <v>1</v>
      </c>
      <c r="C6" s="69" t="s">
        <v>131</v>
      </c>
      <c r="D6" s="94" t="s">
        <v>145</v>
      </c>
      <c r="E6" s="94"/>
      <c r="F6" s="94"/>
      <c r="G6" s="94"/>
      <c r="H6" s="94"/>
      <c r="I6" s="69">
        <v>1</v>
      </c>
      <c r="J6" s="94" t="s">
        <v>132</v>
      </c>
    </row>
    <row r="7" spans="2:10">
      <c r="B7" s="14">
        <f t="shared" ref="B7:B20" si="0">IF(C7="","",ROW()-5)</f>
        <v>2</v>
      </c>
      <c r="C7" s="69" t="s">
        <v>131</v>
      </c>
      <c r="D7" s="94" t="s">
        <v>145</v>
      </c>
      <c r="E7" s="94"/>
      <c r="F7" s="94"/>
      <c r="G7" s="94"/>
      <c r="H7" s="94"/>
      <c r="I7" s="69">
        <v>2</v>
      </c>
      <c r="J7" s="94" t="s">
        <v>133</v>
      </c>
    </row>
    <row r="8" spans="2:10">
      <c r="B8" s="14">
        <f t="shared" si="0"/>
        <v>3</v>
      </c>
      <c r="C8" s="69" t="s">
        <v>146</v>
      </c>
      <c r="D8" s="64" t="s">
        <v>147</v>
      </c>
      <c r="E8" s="64"/>
      <c r="F8" s="64"/>
      <c r="G8" s="64"/>
      <c r="H8" s="64"/>
      <c r="I8" s="69">
        <v>1</v>
      </c>
      <c r="J8" s="64" t="s">
        <v>148</v>
      </c>
    </row>
    <row r="9" spans="2:10">
      <c r="B9" s="14">
        <f t="shared" si="0"/>
        <v>4</v>
      </c>
      <c r="C9" s="69" t="s">
        <v>146</v>
      </c>
      <c r="D9" s="64" t="s">
        <v>147</v>
      </c>
      <c r="E9" s="64"/>
      <c r="F9" s="64"/>
      <c r="G9" s="64"/>
      <c r="H9" s="64"/>
      <c r="I9" s="98">
        <v>2</v>
      </c>
      <c r="J9" s="64" t="s">
        <v>149</v>
      </c>
    </row>
    <row r="10" spans="2:10">
      <c r="B10" s="14">
        <f t="shared" si="0"/>
        <v>5</v>
      </c>
      <c r="C10" s="69" t="s">
        <v>146</v>
      </c>
      <c r="D10" s="64" t="s">
        <v>147</v>
      </c>
      <c r="E10" s="64"/>
      <c r="F10" s="64"/>
      <c r="G10" s="64"/>
      <c r="H10" s="64"/>
      <c r="I10" s="98">
        <v>3</v>
      </c>
      <c r="J10" s="64" t="s">
        <v>151</v>
      </c>
    </row>
    <row r="11" spans="2:10">
      <c r="B11" s="14">
        <f t="shared" si="0"/>
        <v>6</v>
      </c>
      <c r="C11" s="69" t="s">
        <v>146</v>
      </c>
      <c r="D11" s="64" t="s">
        <v>147</v>
      </c>
      <c r="E11" s="64"/>
      <c r="F11" s="64"/>
      <c r="G11" s="64"/>
      <c r="H11" s="64"/>
      <c r="I11" s="98">
        <v>4</v>
      </c>
      <c r="J11" s="64" t="s">
        <v>150</v>
      </c>
    </row>
    <row r="12" spans="2:10">
      <c r="B12" s="14">
        <f t="shared" si="0"/>
        <v>7</v>
      </c>
      <c r="C12" s="69" t="s">
        <v>146</v>
      </c>
      <c r="D12" s="64" t="s">
        <v>147</v>
      </c>
      <c r="E12" s="64"/>
      <c r="F12" s="64"/>
      <c r="G12" s="64"/>
      <c r="H12" s="64"/>
      <c r="I12" s="98">
        <v>5</v>
      </c>
      <c r="J12" s="64" t="s">
        <v>152</v>
      </c>
    </row>
    <row r="13" spans="2:10">
      <c r="B13" s="14">
        <f t="shared" si="0"/>
        <v>8</v>
      </c>
      <c r="C13" s="69" t="s">
        <v>206</v>
      </c>
      <c r="D13" s="118" t="s">
        <v>232</v>
      </c>
      <c r="E13" s="98">
        <v>1</v>
      </c>
      <c r="F13" s="98">
        <v>201907</v>
      </c>
      <c r="G13" s="68"/>
      <c r="H13" s="68"/>
      <c r="I13" s="98">
        <v>1</v>
      </c>
      <c r="J13" s="68" t="s">
        <v>156</v>
      </c>
    </row>
    <row r="14" spans="2:10">
      <c r="B14" s="14">
        <f t="shared" si="0"/>
        <v>9</v>
      </c>
      <c r="C14" s="69" t="s">
        <v>206</v>
      </c>
      <c r="D14" s="118" t="s">
        <v>232</v>
      </c>
      <c r="E14" s="98">
        <v>1</v>
      </c>
      <c r="F14" s="98">
        <v>201907</v>
      </c>
      <c r="G14" s="68"/>
      <c r="H14" s="68"/>
      <c r="I14" s="98">
        <v>2</v>
      </c>
      <c r="J14" s="68" t="s">
        <v>182</v>
      </c>
    </row>
    <row r="15" spans="2:10">
      <c r="B15" s="14">
        <f t="shared" si="0"/>
        <v>10</v>
      </c>
      <c r="C15" s="69" t="s">
        <v>206</v>
      </c>
      <c r="D15" s="118" t="s">
        <v>232</v>
      </c>
      <c r="E15" s="98">
        <v>1</v>
      </c>
      <c r="F15" s="98">
        <v>201907</v>
      </c>
      <c r="G15" s="68"/>
      <c r="H15" s="68"/>
      <c r="I15" s="98">
        <v>5</v>
      </c>
      <c r="J15" s="68" t="s">
        <v>194</v>
      </c>
    </row>
    <row r="16" spans="2:10">
      <c r="B16" s="14">
        <f t="shared" si="0"/>
        <v>11</v>
      </c>
      <c r="C16" s="69" t="s">
        <v>206</v>
      </c>
      <c r="D16" s="118" t="s">
        <v>232</v>
      </c>
      <c r="E16" s="98">
        <v>1</v>
      </c>
      <c r="F16" s="98">
        <v>201907</v>
      </c>
      <c r="G16" s="68"/>
      <c r="H16" s="68"/>
      <c r="I16" s="98">
        <v>8</v>
      </c>
      <c r="J16" s="112" t="s">
        <v>181</v>
      </c>
    </row>
    <row r="17" spans="2:10">
      <c r="B17" s="14" t="str">
        <f t="shared" si="0"/>
        <v/>
      </c>
      <c r="C17" s="68"/>
      <c r="D17" s="68"/>
      <c r="E17" s="68"/>
      <c r="F17" s="68"/>
      <c r="G17" s="68"/>
      <c r="H17" s="68"/>
      <c r="I17" s="68"/>
      <c r="J17" s="68"/>
    </row>
    <row r="18" spans="2:10">
      <c r="B18" s="14" t="str">
        <f t="shared" si="0"/>
        <v/>
      </c>
      <c r="C18" s="68"/>
      <c r="D18" s="68"/>
      <c r="E18" s="68"/>
      <c r="F18" s="68"/>
      <c r="G18" s="68"/>
      <c r="H18" s="68"/>
      <c r="I18" s="68"/>
      <c r="J18" s="68"/>
    </row>
    <row r="19" spans="2:10">
      <c r="B19" s="14" t="str">
        <f t="shared" si="0"/>
        <v/>
      </c>
      <c r="C19" s="68"/>
      <c r="D19" s="68"/>
      <c r="E19" s="68"/>
      <c r="F19" s="68"/>
      <c r="G19" s="68"/>
      <c r="H19" s="68"/>
      <c r="I19" s="68"/>
      <c r="J19" s="68"/>
    </row>
    <row r="20" spans="2:10">
      <c r="B20" s="14" t="str">
        <f t="shared" si="0"/>
        <v/>
      </c>
      <c r="C20" s="68"/>
      <c r="D20" s="68"/>
      <c r="E20" s="68"/>
      <c r="F20" s="68"/>
      <c r="G20" s="68"/>
      <c r="H20" s="68"/>
      <c r="I20" s="68"/>
      <c r="J20" s="68"/>
    </row>
  </sheetData>
  <mergeCells count="1">
    <mergeCell ref="B4:B5"/>
  </mergeCells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B2:E29"/>
  <sheetViews>
    <sheetView workbookViewId="0">
      <pane ySplit="3" topLeftCell="A4" activePane="bottomLeft" state="frozen"/>
      <selection pane="bottomLeft" activeCell="C22" sqref="C22"/>
    </sheetView>
  </sheetViews>
  <sheetFormatPr defaultRowHeight="18.75"/>
  <cols>
    <col min="2" max="2" width="4.5" bestFit="1" customWidth="1"/>
    <col min="3" max="3" width="12.875" style="18" customWidth="1"/>
    <col min="4" max="5" width="32.25" customWidth="1"/>
  </cols>
  <sheetData>
    <row r="2" spans="2:5">
      <c r="B2" t="s">
        <v>72</v>
      </c>
    </row>
    <row r="3" spans="2:5">
      <c r="B3" s="5" t="s">
        <v>31</v>
      </c>
      <c r="C3" s="5" t="s">
        <v>28</v>
      </c>
      <c r="D3" s="5" t="s">
        <v>29</v>
      </c>
      <c r="E3" s="5" t="s">
        <v>30</v>
      </c>
    </row>
    <row r="4" spans="2:5">
      <c r="B4" s="15">
        <f>IF(C4="","",ROW()-3)</f>
        <v>1</v>
      </c>
      <c r="C4" s="17" t="s">
        <v>25</v>
      </c>
      <c r="D4" s="16" t="s">
        <v>26</v>
      </c>
      <c r="E4" s="16" t="s">
        <v>27</v>
      </c>
    </row>
    <row r="5" spans="2:5">
      <c r="B5" s="15">
        <f t="shared" ref="B5:B29" si="0">IF(C5="","",ROW()-3)</f>
        <v>2</v>
      </c>
      <c r="C5" s="19" t="s">
        <v>32</v>
      </c>
      <c r="D5" s="16" t="s">
        <v>33</v>
      </c>
      <c r="E5" s="16" t="s">
        <v>34</v>
      </c>
    </row>
    <row r="6" spans="2:5" ht="24">
      <c r="B6" s="15">
        <f t="shared" si="0"/>
        <v>3</v>
      </c>
      <c r="C6" s="17" t="s">
        <v>35</v>
      </c>
      <c r="D6" s="16" t="s">
        <v>36</v>
      </c>
      <c r="E6" s="16" t="s">
        <v>37</v>
      </c>
    </row>
    <row r="7" spans="2:5" ht="24">
      <c r="B7" s="15">
        <f t="shared" si="0"/>
        <v>4</v>
      </c>
      <c r="C7" s="17" t="s">
        <v>38</v>
      </c>
      <c r="D7" s="17" t="s">
        <v>39</v>
      </c>
      <c r="E7" s="17" t="s">
        <v>40</v>
      </c>
    </row>
    <row r="8" spans="2:5" ht="24">
      <c r="B8" s="15">
        <f t="shared" si="0"/>
        <v>5</v>
      </c>
      <c r="C8" s="19" t="s">
        <v>41</v>
      </c>
      <c r="D8" s="17" t="s">
        <v>39</v>
      </c>
      <c r="E8" s="17" t="s">
        <v>40</v>
      </c>
    </row>
    <row r="9" spans="2:5">
      <c r="B9" s="15">
        <f t="shared" si="0"/>
        <v>6</v>
      </c>
      <c r="C9" s="17" t="s">
        <v>42</v>
      </c>
      <c r="D9" s="17" t="s">
        <v>43</v>
      </c>
      <c r="E9" s="17" t="s">
        <v>44</v>
      </c>
    </row>
    <row r="10" spans="2:5" ht="24">
      <c r="B10" s="15">
        <f t="shared" si="0"/>
        <v>7</v>
      </c>
      <c r="C10" s="19" t="s">
        <v>45</v>
      </c>
      <c r="D10" s="17" t="s">
        <v>46</v>
      </c>
      <c r="E10" s="17"/>
    </row>
    <row r="11" spans="2:5" ht="24">
      <c r="B11" s="15">
        <f t="shared" si="0"/>
        <v>8</v>
      </c>
      <c r="C11" s="19" t="s">
        <v>47</v>
      </c>
      <c r="D11" s="17" t="s">
        <v>48</v>
      </c>
      <c r="E11" s="17"/>
    </row>
    <row r="12" spans="2:5">
      <c r="B12" s="15">
        <f t="shared" si="0"/>
        <v>9</v>
      </c>
      <c r="C12" s="17" t="s">
        <v>49</v>
      </c>
      <c r="D12" s="17" t="s">
        <v>50</v>
      </c>
      <c r="E12" s="17"/>
    </row>
    <row r="13" spans="2:5" ht="24">
      <c r="B13" s="15">
        <f t="shared" si="0"/>
        <v>10</v>
      </c>
      <c r="C13" s="19" t="s">
        <v>271</v>
      </c>
      <c r="D13" s="17" t="s">
        <v>51</v>
      </c>
      <c r="E13" s="17"/>
    </row>
    <row r="14" spans="2:5" ht="24">
      <c r="B14" s="15">
        <f t="shared" si="0"/>
        <v>11</v>
      </c>
      <c r="C14" s="17" t="s">
        <v>272</v>
      </c>
      <c r="D14" s="17" t="s">
        <v>52</v>
      </c>
      <c r="E14" s="17"/>
    </row>
    <row r="15" spans="2:5">
      <c r="B15" s="15">
        <f t="shared" si="0"/>
        <v>12</v>
      </c>
      <c r="C15" s="17" t="s">
        <v>53</v>
      </c>
      <c r="D15" s="17" t="s">
        <v>54</v>
      </c>
      <c r="E15" s="17"/>
    </row>
    <row r="16" spans="2:5">
      <c r="B16" s="15">
        <f t="shared" si="0"/>
        <v>13</v>
      </c>
      <c r="C16" s="17" t="s">
        <v>55</v>
      </c>
      <c r="D16" s="17" t="s">
        <v>56</v>
      </c>
      <c r="E16" s="17"/>
    </row>
    <row r="17" spans="2:5">
      <c r="B17" s="15" t="str">
        <f t="shared" si="0"/>
        <v/>
      </c>
      <c r="C17" s="17"/>
      <c r="D17" s="17"/>
      <c r="E17" s="17"/>
    </row>
    <row r="18" spans="2:5">
      <c r="B18" s="15" t="str">
        <f t="shared" si="0"/>
        <v/>
      </c>
      <c r="C18" s="17"/>
      <c r="D18" s="17"/>
      <c r="E18" s="17"/>
    </row>
    <row r="19" spans="2:5">
      <c r="B19" s="15" t="str">
        <f t="shared" si="0"/>
        <v/>
      </c>
      <c r="C19" s="17"/>
      <c r="D19" s="17"/>
      <c r="E19" s="17"/>
    </row>
    <row r="20" spans="2:5">
      <c r="B20" s="15" t="str">
        <f t="shared" si="0"/>
        <v/>
      </c>
      <c r="C20" s="17"/>
      <c r="D20" s="17"/>
      <c r="E20" s="17"/>
    </row>
    <row r="21" spans="2:5">
      <c r="B21" s="15" t="str">
        <f t="shared" si="0"/>
        <v/>
      </c>
      <c r="C21" s="17"/>
      <c r="D21" s="17"/>
      <c r="E21" s="17"/>
    </row>
    <row r="22" spans="2:5">
      <c r="B22" s="15" t="str">
        <f t="shared" si="0"/>
        <v/>
      </c>
      <c r="C22" s="17"/>
      <c r="D22" s="17"/>
      <c r="E22" s="17"/>
    </row>
    <row r="23" spans="2:5">
      <c r="B23" s="15" t="str">
        <f t="shared" si="0"/>
        <v/>
      </c>
      <c r="C23" s="17"/>
      <c r="D23" s="17"/>
      <c r="E23" s="17"/>
    </row>
    <row r="24" spans="2:5">
      <c r="B24" s="15" t="str">
        <f t="shared" si="0"/>
        <v/>
      </c>
      <c r="C24" s="17"/>
      <c r="D24" s="17"/>
      <c r="E24" s="17"/>
    </row>
    <row r="25" spans="2:5">
      <c r="B25" s="15" t="str">
        <f t="shared" si="0"/>
        <v/>
      </c>
      <c r="C25" s="17"/>
      <c r="D25" s="17"/>
      <c r="E25" s="17"/>
    </row>
    <row r="26" spans="2:5">
      <c r="B26" s="15" t="str">
        <f t="shared" si="0"/>
        <v/>
      </c>
      <c r="C26" s="17"/>
      <c r="D26" s="17"/>
      <c r="E26" s="17"/>
    </row>
    <row r="27" spans="2:5">
      <c r="B27" s="15" t="str">
        <f t="shared" si="0"/>
        <v/>
      </c>
      <c r="C27" s="17"/>
      <c r="D27" s="17"/>
      <c r="E27" s="17"/>
    </row>
    <row r="28" spans="2:5">
      <c r="B28" s="15" t="str">
        <f t="shared" si="0"/>
        <v/>
      </c>
      <c r="C28" s="17"/>
      <c r="D28" s="17"/>
      <c r="E28" s="17"/>
    </row>
    <row r="29" spans="2:5">
      <c r="B29" s="15" t="str">
        <f t="shared" si="0"/>
        <v/>
      </c>
      <c r="C29" s="17"/>
      <c r="D29" s="17"/>
      <c r="E29" s="17"/>
    </row>
  </sheetData>
  <phoneticPr fontId="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4BDF9-1AE2-4291-9C25-CCB97B182621}">
  <sheetPr codeName="Sheet4"/>
  <dimension ref="B5:Q20"/>
  <sheetViews>
    <sheetView workbookViewId="0">
      <selection activeCell="K28" sqref="K28"/>
    </sheetView>
  </sheetViews>
  <sheetFormatPr defaultRowHeight="18.75"/>
  <cols>
    <col min="2" max="2" width="8.5" bestFit="1" customWidth="1"/>
    <col min="4" max="4" width="9.875" bestFit="1" customWidth="1"/>
    <col min="5" max="5" width="13.375" bestFit="1" customWidth="1"/>
    <col min="6" max="6" width="6.5" bestFit="1" customWidth="1"/>
    <col min="7" max="7" width="9.25" bestFit="1" customWidth="1"/>
    <col min="8" max="8" width="13.5" bestFit="1" customWidth="1"/>
    <col min="9" max="12" width="8.625" bestFit="1" customWidth="1"/>
    <col min="13" max="13" width="6.875" bestFit="1" customWidth="1"/>
    <col min="14" max="14" width="8.625" bestFit="1" customWidth="1"/>
    <col min="15" max="15" width="8.125" bestFit="1" customWidth="1"/>
    <col min="16" max="17" width="10.25" bestFit="1" customWidth="1"/>
  </cols>
  <sheetData>
    <row r="5" spans="2:17">
      <c r="B5" s="117" t="s">
        <v>73</v>
      </c>
      <c r="C5" s="117" t="s">
        <v>229</v>
      </c>
      <c r="D5" s="107" t="s">
        <v>230</v>
      </c>
      <c r="E5" s="107" t="s">
        <v>231</v>
      </c>
      <c r="F5" s="101" t="s">
        <v>233</v>
      </c>
      <c r="G5" s="119" t="s">
        <v>235</v>
      </c>
      <c r="H5" s="102" t="s">
        <v>68</v>
      </c>
      <c r="I5" s="120" t="s">
        <v>236</v>
      </c>
      <c r="J5" s="120" t="s">
        <v>237</v>
      </c>
      <c r="K5" s="120" t="s">
        <v>238</v>
      </c>
      <c r="L5" s="120" t="s">
        <v>239</v>
      </c>
      <c r="M5" s="120" t="s">
        <v>75</v>
      </c>
      <c r="N5" s="100" t="s">
        <v>69</v>
      </c>
      <c r="O5" s="100" t="s">
        <v>240</v>
      </c>
      <c r="P5" s="121" t="s">
        <v>242</v>
      </c>
      <c r="Q5" s="121" t="s">
        <v>241</v>
      </c>
    </row>
    <row r="6" spans="2:17">
      <c r="B6" s="103" t="s">
        <v>76</v>
      </c>
      <c r="C6" s="103" t="s">
        <v>77</v>
      </c>
      <c r="D6" s="103" t="s">
        <v>154</v>
      </c>
      <c r="E6" s="103" t="s">
        <v>153</v>
      </c>
      <c r="F6" s="104" t="s">
        <v>234</v>
      </c>
      <c r="G6" s="103" t="s">
        <v>78</v>
      </c>
      <c r="H6" s="103" t="s">
        <v>79</v>
      </c>
      <c r="I6" s="103" t="s">
        <v>80</v>
      </c>
      <c r="J6" s="103" t="s">
        <v>81</v>
      </c>
      <c r="K6" s="103" t="s">
        <v>82</v>
      </c>
      <c r="L6" s="103" t="s">
        <v>83</v>
      </c>
      <c r="M6" s="103" t="s">
        <v>84</v>
      </c>
      <c r="N6" s="103" t="s">
        <v>85</v>
      </c>
      <c r="O6" s="103" t="s">
        <v>86</v>
      </c>
      <c r="P6" s="105" t="s">
        <v>87</v>
      </c>
      <c r="Q6" s="105" t="s">
        <v>88</v>
      </c>
    </row>
    <row r="7" spans="2:17">
      <c r="B7" s="100" t="s">
        <v>61</v>
      </c>
      <c r="C7" s="100" t="s">
        <v>61</v>
      </c>
      <c r="D7" s="100" t="s">
        <v>61</v>
      </c>
      <c r="E7" s="100" t="s">
        <v>60</v>
      </c>
      <c r="F7" s="100" t="s">
        <v>61</v>
      </c>
      <c r="G7" s="100" t="s">
        <v>60</v>
      </c>
      <c r="H7" s="100" t="s">
        <v>60</v>
      </c>
      <c r="I7" s="100" t="s">
        <v>60</v>
      </c>
      <c r="J7" s="100" t="s">
        <v>60</v>
      </c>
      <c r="K7" s="100" t="s">
        <v>60</v>
      </c>
      <c r="L7" s="100" t="s">
        <v>60</v>
      </c>
      <c r="M7" s="100" t="s">
        <v>61</v>
      </c>
      <c r="N7" s="100" t="s">
        <v>60</v>
      </c>
      <c r="O7" s="100" t="s">
        <v>67</v>
      </c>
      <c r="P7" s="100" t="s">
        <v>269</v>
      </c>
      <c r="Q7" s="100" t="s">
        <v>269</v>
      </c>
    </row>
    <row r="8" spans="2:17">
      <c r="B8" s="106">
        <v>1</v>
      </c>
      <c r="C8" s="106">
        <v>6</v>
      </c>
      <c r="D8" s="106">
        <v>1</v>
      </c>
      <c r="E8" s="106">
        <v>2</v>
      </c>
      <c r="F8" s="106">
        <v>2</v>
      </c>
      <c r="G8" s="106">
        <v>3</v>
      </c>
      <c r="H8" s="106">
        <v>200</v>
      </c>
      <c r="I8" s="106">
        <v>100</v>
      </c>
      <c r="J8" s="106">
        <v>100</v>
      </c>
      <c r="K8" s="106">
        <v>100</v>
      </c>
      <c r="L8" s="106">
        <v>100</v>
      </c>
      <c r="M8" s="106">
        <v>1</v>
      </c>
      <c r="N8" s="106">
        <v>200</v>
      </c>
      <c r="O8" s="106">
        <v>3</v>
      </c>
      <c r="P8" s="106"/>
      <c r="Q8" s="106"/>
    </row>
    <row r="9" spans="2:17">
      <c r="B9" s="98">
        <v>1</v>
      </c>
      <c r="C9" s="108">
        <v>201907</v>
      </c>
      <c r="D9" s="98">
        <v>1</v>
      </c>
      <c r="E9" s="98">
        <v>1</v>
      </c>
      <c r="F9" s="68">
        <v>0</v>
      </c>
      <c r="G9" s="68">
        <v>1</v>
      </c>
      <c r="H9" s="68" t="s">
        <v>157</v>
      </c>
      <c r="I9" s="68" t="s">
        <v>158</v>
      </c>
      <c r="J9" s="68" t="s">
        <v>159</v>
      </c>
      <c r="K9" s="68" t="s">
        <v>160</v>
      </c>
      <c r="L9" s="68" t="s">
        <v>161</v>
      </c>
      <c r="M9" s="68">
        <v>3</v>
      </c>
      <c r="N9" s="109" t="s">
        <v>162</v>
      </c>
      <c r="O9" s="68">
        <v>2</v>
      </c>
      <c r="P9" s="110">
        <v>43697</v>
      </c>
      <c r="Q9" s="110">
        <v>43697</v>
      </c>
    </row>
    <row r="10" spans="2:17">
      <c r="B10" s="98">
        <v>1</v>
      </c>
      <c r="C10" s="108">
        <v>201907</v>
      </c>
      <c r="D10" s="98">
        <v>1</v>
      </c>
      <c r="E10" s="98">
        <v>1</v>
      </c>
      <c r="F10" s="68">
        <v>0</v>
      </c>
      <c r="G10" s="68">
        <v>2</v>
      </c>
      <c r="H10" s="68" t="s">
        <v>163</v>
      </c>
      <c r="I10" s="111" t="s">
        <v>164</v>
      </c>
      <c r="J10" s="68" t="s">
        <v>165</v>
      </c>
      <c r="K10" s="68" t="s">
        <v>166</v>
      </c>
      <c r="L10" s="68" t="s">
        <v>167</v>
      </c>
      <c r="M10" s="68">
        <v>2</v>
      </c>
      <c r="N10" s="109" t="s">
        <v>168</v>
      </c>
      <c r="O10" s="68">
        <v>2</v>
      </c>
      <c r="P10" s="110">
        <v>43697</v>
      </c>
      <c r="Q10" s="110">
        <v>43697</v>
      </c>
    </row>
    <row r="11" spans="2:17">
      <c r="B11" s="98">
        <v>1</v>
      </c>
      <c r="C11" s="108">
        <v>201907</v>
      </c>
      <c r="D11" s="98">
        <v>1</v>
      </c>
      <c r="E11" s="98">
        <v>1</v>
      </c>
      <c r="F11" s="68">
        <v>0</v>
      </c>
      <c r="G11" s="68">
        <v>3</v>
      </c>
      <c r="H11" s="68" t="s">
        <v>169</v>
      </c>
      <c r="I11" s="111" t="s">
        <v>170</v>
      </c>
      <c r="J11" s="68" t="s">
        <v>171</v>
      </c>
      <c r="K11" s="68" t="s">
        <v>172</v>
      </c>
      <c r="L11" s="68" t="s">
        <v>173</v>
      </c>
      <c r="M11" s="68">
        <v>4</v>
      </c>
      <c r="N11" s="109" t="s">
        <v>174</v>
      </c>
      <c r="O11" s="68">
        <v>2</v>
      </c>
      <c r="P11" s="110">
        <v>43697</v>
      </c>
      <c r="Q11" s="110">
        <v>43697</v>
      </c>
    </row>
    <row r="12" spans="2:17">
      <c r="B12" s="98">
        <v>1</v>
      </c>
      <c r="C12" s="108">
        <v>201907</v>
      </c>
      <c r="D12" s="98">
        <v>2</v>
      </c>
      <c r="E12" s="98">
        <v>2</v>
      </c>
      <c r="F12" s="68">
        <v>0</v>
      </c>
      <c r="G12" s="68">
        <v>7</v>
      </c>
      <c r="H12" s="68" t="s">
        <v>183</v>
      </c>
      <c r="I12" s="111" t="s">
        <v>184</v>
      </c>
      <c r="J12" s="68" t="s">
        <v>185</v>
      </c>
      <c r="K12" s="68" t="s">
        <v>186</v>
      </c>
      <c r="L12" s="68" t="s">
        <v>187</v>
      </c>
      <c r="M12" s="68">
        <v>1</v>
      </c>
      <c r="N12" s="109" t="s">
        <v>188</v>
      </c>
      <c r="O12" s="68">
        <v>2</v>
      </c>
      <c r="P12" s="110">
        <v>43697</v>
      </c>
      <c r="Q12" s="110">
        <v>43697</v>
      </c>
    </row>
    <row r="13" spans="2:17">
      <c r="B13" s="98">
        <v>1</v>
      </c>
      <c r="C13" s="108">
        <v>201907</v>
      </c>
      <c r="D13" s="98">
        <v>2</v>
      </c>
      <c r="E13" s="98">
        <v>2</v>
      </c>
      <c r="F13" s="68">
        <v>0</v>
      </c>
      <c r="G13" s="68">
        <v>8</v>
      </c>
      <c r="H13" s="68" t="s">
        <v>189</v>
      </c>
      <c r="I13" s="111" t="s">
        <v>190</v>
      </c>
      <c r="J13" s="68" t="s">
        <v>191</v>
      </c>
      <c r="K13" s="68" t="s">
        <v>192</v>
      </c>
      <c r="L13" s="68" t="s">
        <v>193</v>
      </c>
      <c r="M13" s="68">
        <v>4</v>
      </c>
      <c r="N13" s="109" t="s">
        <v>201</v>
      </c>
      <c r="O13" s="68">
        <v>2</v>
      </c>
      <c r="P13" s="110">
        <v>43697</v>
      </c>
      <c r="Q13" s="110">
        <v>43697</v>
      </c>
    </row>
    <row r="14" spans="2:17">
      <c r="B14" s="98">
        <v>1</v>
      </c>
      <c r="C14" s="108">
        <v>201907</v>
      </c>
      <c r="D14" s="98">
        <v>3</v>
      </c>
      <c r="E14" s="98">
        <v>5</v>
      </c>
      <c r="F14" s="68">
        <v>0</v>
      </c>
      <c r="G14" s="68">
        <v>26</v>
      </c>
      <c r="H14" s="68" t="s">
        <v>195</v>
      </c>
      <c r="I14" s="111" t="s">
        <v>196</v>
      </c>
      <c r="J14" s="68" t="s">
        <v>198</v>
      </c>
      <c r="K14" s="68" t="s">
        <v>197</v>
      </c>
      <c r="L14" s="68" t="s">
        <v>199</v>
      </c>
      <c r="M14" s="68">
        <v>2</v>
      </c>
      <c r="N14" s="109" t="s">
        <v>200</v>
      </c>
      <c r="O14" s="68">
        <v>2</v>
      </c>
      <c r="P14" s="110">
        <v>43697</v>
      </c>
      <c r="Q14" s="110">
        <v>43697</v>
      </c>
    </row>
    <row r="15" spans="2:17">
      <c r="B15" s="98">
        <v>1</v>
      </c>
      <c r="C15" s="108">
        <v>201907</v>
      </c>
      <c r="D15" s="98">
        <v>4</v>
      </c>
      <c r="E15" s="98">
        <v>8</v>
      </c>
      <c r="F15" s="112">
        <v>1</v>
      </c>
      <c r="G15" s="68">
        <v>46</v>
      </c>
      <c r="H15" s="68" t="s">
        <v>175</v>
      </c>
      <c r="I15" s="68" t="s">
        <v>176</v>
      </c>
      <c r="J15" s="68" t="s">
        <v>177</v>
      </c>
      <c r="K15" s="68" t="s">
        <v>178</v>
      </c>
      <c r="L15" s="68" t="s">
        <v>179</v>
      </c>
      <c r="M15" s="68">
        <v>4</v>
      </c>
      <c r="N15" s="109" t="s">
        <v>180</v>
      </c>
      <c r="O15" s="68">
        <v>2</v>
      </c>
      <c r="P15" s="110">
        <v>43697</v>
      </c>
      <c r="Q15" s="110">
        <v>43697</v>
      </c>
    </row>
    <row r="16" spans="2:17"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</row>
    <row r="17" spans="2:17"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</row>
    <row r="18" spans="2:17"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</row>
    <row r="19" spans="2:17"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</row>
    <row r="20" spans="2:17"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</row>
  </sheetData>
  <phoneticPr fontId="4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E58F-8742-4B9D-A053-829A28CB3763}">
  <sheetPr codeName="Sheet5"/>
  <dimension ref="A1"/>
  <sheetViews>
    <sheetView workbookViewId="0">
      <selection activeCell="G6" sqref="G6"/>
    </sheetView>
  </sheetViews>
  <sheetFormatPr defaultRowHeight="18.75"/>
  <sheetData/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5</vt:i4>
      </vt:variant>
    </vt:vector>
  </HeadingPairs>
  <TitlesOfParts>
    <vt:vector size="16" baseType="lpstr">
      <vt:lpstr>Pages</vt:lpstr>
      <vt:lpstr>TOOL</vt:lpstr>
      <vt:lpstr>T_用户情报</vt:lpstr>
      <vt:lpstr>T_問題情報</vt:lpstr>
      <vt:lpstr>T_阅读理解情报</vt:lpstr>
      <vt:lpstr>T_用户答案情报</vt:lpstr>
      <vt:lpstr>T_区分ID情報</vt:lpstr>
      <vt:lpstr>区分データ</vt:lpstr>
      <vt:lpstr>SQL定数情報</vt:lpstr>
      <vt:lpstr>QUESTIONG</vt:lpstr>
      <vt:lpstr>Sheet1</vt:lpstr>
      <vt:lpstr>T_区分ID情報!Print_Area</vt:lpstr>
      <vt:lpstr>T_問題情報!Print_Area</vt:lpstr>
      <vt:lpstr>T_用户情报!Print_Area</vt:lpstr>
      <vt:lpstr>T_用户答案情报!Print_Area</vt:lpstr>
      <vt:lpstr>T_阅读理解情报!Print_Area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Zhang, Yong</cp:lastModifiedBy>
  <cp:lastPrinted>2019-07-23T05:29:21Z</cp:lastPrinted>
  <dcterms:created xsi:type="dcterms:W3CDTF">2015-06-05T18:19:34Z</dcterms:created>
  <dcterms:modified xsi:type="dcterms:W3CDTF">2019-09-17T05:30:26Z</dcterms:modified>
</cp:coreProperties>
</file>